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9" sheetId="1" r:id="rId5"/>
  </sheets>
  <definedNames>
    <definedName name="text_table">#REF!</definedName>
    <definedName name="GET_EVIDENCE">LAMBDA(id, if( VLOOKUP(id,Sheet9!$A:$F,6,false)="✓", 
        if( VLOOKUP(id,Sheet9!$A:$F,5,false) &lt;&gt; "",
        "• " &amp;        VLOOKUP(id,Sheet9!$A:$F,5,false) &amp; CHAR(10),""                 
        ),""
))</definedName>
    <definedName name="GET_TEXT">LAMBDA(id, control, if( VLOOKUP(id,Sheet9!$A:$F,6,false)="✓", 
        if( VLOOKUP(id,text_table,5+control,false) &lt;&gt; "",              VLOOKUP(id,text_table,5+control,false) &amp; CHAR(10),
                if( VLOOKUP(id,text_table,5,false) &lt;&gt; "",              VLOOKUP(id,text_table,5,false) &amp; CHAR(10)
,
                        ""
                )
        ),""
))</definedName>
  </definedNames>
  <calcPr/>
</workbook>
</file>

<file path=xl/sharedStrings.xml><?xml version="1.0" encoding="utf-8"?>
<sst xmlns="http://schemas.openxmlformats.org/spreadsheetml/2006/main" count="402" uniqueCount="323">
  <si>
    <t>`</t>
  </si>
  <si>
    <t>CDR Compliance Report</t>
  </si>
  <si>
    <t>Ref</t>
  </si>
  <si>
    <t>Step 1: Your Organisation</t>
  </si>
  <si>
    <t>🏰</t>
  </si>
  <si>
    <r>
      <rPr>
        <rFont val="Calibri"/>
        <b/>
        <color rgb="FF152940"/>
        <sz val="12.0"/>
      </rPr>
      <t xml:space="preserve">Company Details
</t>
    </r>
    <r>
      <rPr>
        <rFont val="Calibri"/>
        <i/>
        <color rgb="FF152940"/>
        <sz val="11.0"/>
      </rPr>
      <t>Please provide details about your organisation.</t>
    </r>
  </si>
  <si>
    <t>Organisation Name (as depicted in ASIC or ABN register)</t>
  </si>
  <si>
    <t>Renew Group Holding Pty Ltd</t>
  </si>
  <si>
    <t>ABN or ACN</t>
  </si>
  <si>
    <r>
      <rPr>
        <color rgb="FF1155CC"/>
        <u/>
      </rPr>
      <t>89 668 548 785</t>
    </r>
  </si>
  <si>
    <t>Website URL</t>
  </si>
  <si>
    <t>Monitrax.com.au</t>
  </si>
  <si>
    <t>Description of Company</t>
  </si>
  <si>
    <t xml:space="preserve">This is a startup company that is looking into creating a financial tracking app for users </t>
  </si>
  <si>
    <t>Description of Goods or Services to be provided using CDR Data</t>
  </si>
  <si>
    <t>Monitrax app is a financial portfolio tracker and catagorisation web app. This app will provide a full view of the financial situation of the user , including cashflow and debt reduction plan</t>
  </si>
  <si>
    <t>Link to Company Logo (must be W 200px x H 39px)</t>
  </si>
  <si>
    <t>https://acme.com/mylogo.png</t>
  </si>
  <si>
    <t>🕵🏻</t>
  </si>
  <si>
    <r>
      <rPr>
        <rFont val="Calibri"/>
        <b/>
        <color rgb="FF152940"/>
        <sz val="12.0"/>
      </rPr>
      <t xml:space="preserve">Roles and Responsibilities
</t>
    </r>
    <r>
      <rPr>
        <rFont val="Calibri"/>
        <i/>
        <color rgb="FF152940"/>
        <sz val="11.0"/>
      </rPr>
      <t>Please specify the key personnel within your organization who are responsible for maintaining security.</t>
    </r>
  </si>
  <si>
    <r>
      <rPr>
        <rFont val="Calibri"/>
        <color theme="1"/>
        <sz val="11.0"/>
      </rPr>
      <t xml:space="preserve">Who holds the ultimate responsibility for the security across the organisation?
</t>
    </r>
    <r>
      <rPr>
        <rFont val="Calibri"/>
        <i/>
        <color rgb="FF999999"/>
        <sz val="10.0"/>
      </rPr>
      <t>e.g. IT Security Manager or CISO</t>
    </r>
  </si>
  <si>
    <t>Director</t>
  </si>
  <si>
    <r>
      <rPr>
        <rFont val="Calibri"/>
        <color theme="1"/>
        <sz val="11.0"/>
      </rPr>
      <t xml:space="preserve">Who looks after the security of the production environment?
</t>
    </r>
    <r>
      <rPr>
        <rFont val="Calibri"/>
        <i/>
        <color rgb="FF999999"/>
        <sz val="10.0"/>
      </rPr>
      <t>e.g. Technical Lead, Devops or Sec Ops</t>
    </r>
  </si>
  <si>
    <r>
      <rPr>
        <rFont val="Calibri"/>
        <color theme="1"/>
        <sz val="11.0"/>
      </rPr>
      <t xml:space="preserve">Who is responsible for identifying, assessing, and mitigating information security risks?
</t>
    </r>
    <r>
      <rPr>
        <rFont val="Calibri"/>
        <i/>
        <color rgb="FF999999"/>
        <sz val="10.0"/>
      </rPr>
      <t>e.g. Risk Manager, compliance manager</t>
    </r>
  </si>
  <si>
    <r>
      <rPr>
        <rFont val="Calibri"/>
        <color theme="1"/>
        <sz val="11.0"/>
      </rPr>
      <t xml:space="preserve">Who is responsible for information security compliance?
</t>
    </r>
    <r>
      <rPr>
        <rFont val="Calibri"/>
        <i/>
        <color rgb="FF999999"/>
        <sz val="10.0"/>
      </rPr>
      <t>e.g. Compliance Officer</t>
    </r>
  </si>
  <si>
    <t>director</t>
  </si>
  <si>
    <r>
      <rPr>
        <rFont val="Calibri"/>
        <color theme="1"/>
        <sz val="11.0"/>
      </rPr>
      <t xml:space="preserve">Who is responsible for providing guidance on legal and ethical issues related to information security?
</t>
    </r>
    <r>
      <rPr>
        <rFont val="Calibri"/>
        <i/>
        <color rgb="FF999999"/>
        <sz val="10.0"/>
      </rPr>
      <t>e.g. Legal firm, in-house counsel</t>
    </r>
  </si>
  <si>
    <r>
      <rPr>
        <rFont val="Calibri"/>
        <color theme="1"/>
        <sz val="11.0"/>
      </rPr>
      <t xml:space="preserve">Who is responsible for employee training and awareness of security policies and procedures?
</t>
    </r>
    <r>
      <rPr>
        <rFont val="Calibri"/>
        <i/>
        <color rgb="FF999999"/>
        <sz val="10.0"/>
      </rPr>
      <t>e.g. HR Manager</t>
    </r>
  </si>
  <si>
    <t xml:space="preserve">director </t>
  </si>
  <si>
    <t>Step 2: CDR Data use</t>
  </si>
  <si>
    <t>790062AD</t>
  </si>
  <si>
    <t xml:space="preserve">Will your organisation know or need to know the identity of the consumers who will share their CDR data with you because it would be impracticable for you to deal with an unidentified consumer (e.g. because the data you will receive will identify the consumer)?
</t>
  </si>
  <si>
    <t>A071C0CD</t>
  </si>
  <si>
    <t xml:space="preserve">Does your organisation intend to use CDR data for direct marketing purposes (i.e. using or disclosing CDR data to communicate directly with a consumer to promote goods and services)?
</t>
  </si>
  <si>
    <t>D5665879</t>
  </si>
  <si>
    <t xml:space="preserve">Does your organisation anticipate disclosing CDR data to a person located overseas?
</t>
  </si>
  <si>
    <t>I have read and understood the contents in "CDR representatives - compliance obligations knowledge document"</t>
  </si>
  <si>
    <t>Available in the main folder</t>
  </si>
  <si>
    <t>I have read and understood the contents in "CDR Representatives - fact sheet"</t>
  </si>
  <si>
    <t xml:space="preserve">We confirm we will provide a publicly accessible webpage where the end consumer can easily identify how to manage their consent on our platform/service
</t>
  </si>
  <si>
    <t>Template</t>
  </si>
  <si>
    <t>Step 3: Security Practices</t>
  </si>
  <si>
    <t>👨🏻‍💼</t>
  </si>
  <si>
    <r>
      <rPr>
        <rFont val="Calibri"/>
        <b/>
        <color rgb="FF152940"/>
        <sz val="12.0"/>
      </rPr>
      <t xml:space="preserve">User Authentication and Access Management 
</t>
    </r>
    <r>
      <rPr>
        <rFont val="Calibri"/>
        <b val="0"/>
        <i/>
        <color rgb="FF152940"/>
        <sz val="11.0"/>
      </rPr>
      <t>How are users authenticated and authorised to access systems that store CDR data?</t>
    </r>
  </si>
  <si>
    <t>Every user has a unique login account</t>
  </si>
  <si>
    <t>User accounts are not generic and are never shared</t>
  </si>
  <si>
    <t>Multi-factor authentication is enabled for user accounts</t>
  </si>
  <si>
    <t>A5AD8EA4</t>
  </si>
  <si>
    <t>Strong passwords are enforced for user accounts</t>
  </si>
  <si>
    <t>ED064610</t>
  </si>
  <si>
    <t>Role based access is used to restrict access to systems</t>
  </si>
  <si>
    <t>89909219</t>
  </si>
  <si>
    <t>Access privileges are granted on a as-needed basis</t>
  </si>
  <si>
    <t>3784B5A2</t>
  </si>
  <si>
    <t>Admin accounts are regularly reviewed and removed</t>
  </si>
  <si>
    <t>🪵</t>
  </si>
  <si>
    <r>
      <rPr>
        <rFont val="Calibri"/>
        <b/>
        <color rgb="FF152940"/>
        <sz val="12.0"/>
      </rPr>
      <t>Tell us about your logs</t>
    </r>
    <r>
      <rPr>
        <rFont val="Calibri"/>
        <b/>
        <color rgb="FF152940"/>
        <sz val="11.0"/>
      </rPr>
      <t xml:space="preserve">
</t>
    </r>
    <r>
      <rPr>
        <rFont val="Calibri"/>
        <b val="0"/>
        <i/>
        <color rgb="FF152940"/>
        <sz val="11.0"/>
      </rPr>
      <t>Identify which events are recorded for systems that have access to CDR data.</t>
    </r>
  </si>
  <si>
    <t>FA231FAB</t>
  </si>
  <si>
    <t>Critical system events are logged</t>
  </si>
  <si>
    <t>E2C85357</t>
  </si>
  <si>
    <t>Security events are logged</t>
  </si>
  <si>
    <t>86DC4DD4</t>
  </si>
  <si>
    <t>User authentication (logins) are logged</t>
  </si>
  <si>
    <t>967AC4FD</t>
  </si>
  <si>
    <t>API requests are logged</t>
  </si>
  <si>
    <t>9060F60D</t>
  </si>
  <si>
    <t>Logs are regularly reviewed to identify irregularities</t>
  </si>
  <si>
    <t>82D75D86</t>
  </si>
  <si>
    <t>Logs don't include CDR data e.g. customers finances</t>
  </si>
  <si>
    <t>1DD6F204</t>
  </si>
  <si>
    <t>Logs are retained for over 90 days</t>
  </si>
  <si>
    <t>🔐</t>
  </si>
  <si>
    <r>
      <rPr>
        <rFont val="Calibri"/>
        <b/>
        <color rgb="FF152940"/>
        <sz val="12.0"/>
      </rPr>
      <t xml:space="preserve">System Security
</t>
    </r>
    <r>
      <rPr>
        <rFont val="Calibri"/>
        <b val="0"/>
        <i/>
        <color rgb="FF152940"/>
        <sz val="11.0"/>
      </rPr>
      <t>Specify the security measures for systems that have access to CDR data.</t>
    </r>
  </si>
  <si>
    <t>93894DA3</t>
  </si>
  <si>
    <t>Systems are hosted in a secure cloud environment e.g. GCP, Azure or AWS</t>
  </si>
  <si>
    <t>9F87DCD7</t>
  </si>
  <si>
    <t>Network rules are enforced to limit external access</t>
  </si>
  <si>
    <t>F9315FE2</t>
  </si>
  <si>
    <t>Data in transit is always encrypted</t>
  </si>
  <si>
    <t>B1658E90</t>
  </si>
  <si>
    <t>Systems are regularly patched for security updates</t>
  </si>
  <si>
    <t>7B03FF04</t>
  </si>
  <si>
    <t>Systems are regularly tested for security vulnerabilities</t>
  </si>
  <si>
    <t>🖥️</t>
  </si>
  <si>
    <r>
      <rPr>
        <rFont val="Calibri"/>
        <b/>
        <color rgb="FF152940"/>
        <sz val="12.0"/>
      </rPr>
      <t>Device Management</t>
    </r>
    <r>
      <rPr>
        <rFont val="Calibri"/>
        <b/>
        <color rgb="FF152940"/>
        <sz val="11.0"/>
      </rPr>
      <t xml:space="preserve">
</t>
    </r>
    <r>
      <rPr>
        <rFont val="Calibri"/>
        <b val="0"/>
        <i/>
        <color rgb="FF152940"/>
        <sz val="11.0"/>
      </rPr>
      <t>Please select all items that apply to user devices e.g. staff laptops</t>
    </r>
  </si>
  <si>
    <t>EF6A3436</t>
  </si>
  <si>
    <t>They are regularly updated with the latest security patches</t>
  </si>
  <si>
    <t>06E14503</t>
  </si>
  <si>
    <t>Devices are not connected to the production system network</t>
  </si>
  <si>
    <t>2439CD77</t>
  </si>
  <si>
    <t>All devices have anti-malware and anti-virus applications installed</t>
  </si>
  <si>
    <t>🦾</t>
  </si>
  <si>
    <r>
      <rPr>
        <rFont val="Calibri"/>
        <b/>
        <color rgb="FF152940"/>
        <sz val="12.0"/>
      </rPr>
      <t xml:space="preserve">Handling of CDR Data
</t>
    </r>
    <r>
      <rPr>
        <rFont val="Calibri"/>
        <b val="0"/>
        <i/>
        <color rgb="FF152940"/>
        <sz val="11.0"/>
      </rPr>
      <t>Tell us how CDR data is handled within your environment</t>
    </r>
  </si>
  <si>
    <t>F9F894B2</t>
  </si>
  <si>
    <t>CDR data is only stored in the production environment</t>
  </si>
  <si>
    <t>CDR data will be retained in a de-itdenified format</t>
  </si>
  <si>
    <t>FB1548C2</t>
  </si>
  <si>
    <t>CDR data is never copied to end-user devices</t>
  </si>
  <si>
    <t>5A19D802</t>
  </si>
  <si>
    <t>CDR data is deleted once no longer required</t>
  </si>
  <si>
    <t>7A18739A</t>
  </si>
  <si>
    <t>CDR data is deleted once the consent has expired</t>
  </si>
  <si>
    <t>DC082B09</t>
  </si>
  <si>
    <t>CDR data is deleted when consent has been revoked</t>
  </si>
  <si>
    <t>D83D683F</t>
  </si>
  <si>
    <t>CDR data in rest is always encrypted</t>
  </si>
  <si>
    <t>3CB161CF</t>
  </si>
  <si>
    <t>I'm legally required to retain CDR data e.g. loan application</t>
  </si>
  <si>
    <t>🧑🏻‍💻</t>
  </si>
  <si>
    <r>
      <rPr>
        <rFont val="Calibri"/>
        <b/>
        <color rgb="FF152940"/>
        <sz val="12.0"/>
      </rPr>
      <t>Tell us about your development practices</t>
    </r>
    <r>
      <rPr>
        <rFont val="Calibri"/>
        <color rgb="FF152940"/>
        <sz val="12.0"/>
      </rPr>
      <t xml:space="preserve">
</t>
    </r>
    <r>
      <rPr>
        <rFont val="Calibri"/>
        <i/>
        <color rgb="FF152940"/>
        <sz val="11.0"/>
      </rPr>
      <t>Specify your coding practices for code that accesses CDR data</t>
    </r>
  </si>
  <si>
    <t>FBF80E1D</t>
  </si>
  <si>
    <t>Code is peer reviewed before deployment to production</t>
  </si>
  <si>
    <t>29712585</t>
  </si>
  <si>
    <t>Code is managed using a version control system e.g. GitHub</t>
  </si>
  <si>
    <t>51517EA6</t>
  </si>
  <si>
    <t>Code is tested before deployment to production</t>
  </si>
  <si>
    <t>02BD97B6</t>
  </si>
  <si>
    <t>Libraries are reviewed and approved before use</t>
  </si>
  <si>
    <t>0C9462AF</t>
  </si>
  <si>
    <t>Libraries are regularly updated with latest security patches</t>
  </si>
  <si>
    <t>👩🏻‍💼</t>
  </si>
  <si>
    <r>
      <rPr>
        <rFont val="Calibri"/>
        <b/>
        <color rgb="FF152940"/>
        <sz val="12.0"/>
      </rPr>
      <t xml:space="preserve">HR Practices
</t>
    </r>
    <r>
      <rPr>
        <rFont val="Calibri"/>
        <b val="0"/>
        <i/>
        <color rgb="FF152940"/>
        <sz val="11.0"/>
      </rPr>
      <t>Specify the HR practices you have implemented to address data security</t>
    </r>
  </si>
  <si>
    <t>4806AEEC</t>
  </si>
  <si>
    <t>Staff are made aware of the importance of handling sensitive data</t>
  </si>
  <si>
    <t>06189DC3</t>
  </si>
  <si>
    <t>We conduct background checks before hiring staff</t>
  </si>
  <si>
    <t>0270C674</t>
  </si>
  <si>
    <t>We regularly perform privacy and security training</t>
  </si>
  <si>
    <t>Step 4: Technology</t>
  </si>
  <si>
    <r>
      <rPr>
        <rFont val="Calibri"/>
        <b/>
        <color rgb="FF152940"/>
        <sz val="12.0"/>
      </rPr>
      <t xml:space="preserve">AWS Managed Services
</t>
    </r>
    <r>
      <rPr>
        <rFont val="Calibri"/>
        <b val="0"/>
        <i/>
        <color rgb="FF152940"/>
        <sz val="11.0"/>
      </rPr>
      <t>Please choose the tools that you utilize within your AWS production environment.</t>
    </r>
  </si>
  <si>
    <t>004C0D1A</t>
  </si>
  <si>
    <t>Amazon GuardDuty</t>
  </si>
  <si>
    <t>0A796C97</t>
  </si>
  <si>
    <t>AWS CloudTrail</t>
  </si>
  <si>
    <t>06A2FC95</t>
  </si>
  <si>
    <t>AWS CloudWatch</t>
  </si>
  <si>
    <t>51ACD9B5</t>
  </si>
  <si>
    <t>AWS Config</t>
  </si>
  <si>
    <t>FDC16B21</t>
  </si>
  <si>
    <t>AWS Identity and Access Management (IAM)</t>
  </si>
  <si>
    <t>6EF1DA76</t>
  </si>
  <si>
    <t>AWS Key Management Service (KMS)</t>
  </si>
  <si>
    <t>7718C44C</t>
  </si>
  <si>
    <t>AWS PrivateLink</t>
  </si>
  <si>
    <t>C60B8E1C</t>
  </si>
  <si>
    <t>AWS Resource Access Manager (RAM)</t>
  </si>
  <si>
    <t>1F5B626A</t>
  </si>
  <si>
    <t>AWS Secrets Manager</t>
  </si>
  <si>
    <t>9E615DEC</t>
  </si>
  <si>
    <t>AWS Security Hub</t>
  </si>
  <si>
    <t>F3F04462</t>
  </si>
  <si>
    <t>AWS Systems Manager</t>
  </si>
  <si>
    <t>ED36FA2D</t>
  </si>
  <si>
    <t>CloudFormation</t>
  </si>
  <si>
    <t>FC2BA3CB</t>
  </si>
  <si>
    <t>CodePipeline</t>
  </si>
  <si>
    <t>FCD88D79</t>
  </si>
  <si>
    <t>CodeBuild</t>
  </si>
  <si>
    <t>A54C64FF</t>
  </si>
  <si>
    <t>CodeDeploy</t>
  </si>
  <si>
    <r>
      <rPr>
        <rFont val="Calibri"/>
        <b/>
        <color rgb="FF152940"/>
        <sz val="12.0"/>
      </rPr>
      <t xml:space="preserve">Azure Managed Services
</t>
    </r>
    <r>
      <rPr>
        <rFont val="Calibri"/>
        <b val="0"/>
        <i/>
        <color rgb="FF152940"/>
        <sz val="11.0"/>
      </rPr>
      <t>Please choose the tools that you utilize within your Azure production environment.</t>
    </r>
  </si>
  <si>
    <t>A817F28D</t>
  </si>
  <si>
    <t>Azure Active Directory (AD)</t>
  </si>
  <si>
    <t>D35EFB0B</t>
  </si>
  <si>
    <t>Azure Activity Log</t>
  </si>
  <si>
    <t>3B215813</t>
  </si>
  <si>
    <t>Azure Advanced Threat Protection</t>
  </si>
  <si>
    <t>73B803E9</t>
  </si>
  <si>
    <t>Azure Diagnostics</t>
  </si>
  <si>
    <t>7F0599FB</t>
  </si>
  <si>
    <t>Azure Information Protection</t>
  </si>
  <si>
    <t>F98CFF6D</t>
  </si>
  <si>
    <t>Azure Key Vault</t>
  </si>
  <si>
    <t>C4667395</t>
  </si>
  <si>
    <t>Azure Log Analytics</t>
  </si>
  <si>
    <t>BB4F7EC0</t>
  </si>
  <si>
    <t>Azure Monitor</t>
  </si>
  <si>
    <t>4E55E5AB</t>
  </si>
  <si>
    <t>Azure Policy</t>
  </si>
  <si>
    <t>172455C1</t>
  </si>
  <si>
    <t>Azure Security Center</t>
  </si>
  <si>
    <r>
      <rPr>
        <rFont val="Calibri"/>
        <b/>
        <color rgb="FF152940"/>
        <sz val="12.0"/>
      </rPr>
      <t xml:space="preserve">Google Cloud Platform
</t>
    </r>
    <r>
      <rPr>
        <rFont val="Calibri"/>
        <b val="0"/>
        <i/>
        <color rgb="FF152940"/>
        <sz val="11.0"/>
      </rPr>
      <t>Please choose the tools that you utilize within your GCP production environment.</t>
    </r>
  </si>
  <si>
    <t>F2C0C311</t>
  </si>
  <si>
    <t>Cloud Audit Logs</t>
  </si>
  <si>
    <t>BFA4A9DD</t>
  </si>
  <si>
    <t>Cloud Data Loss Prevention (DLP)</t>
  </si>
  <si>
    <t>03AB8D2E</t>
  </si>
  <si>
    <t>Identity and Access Management (IAM)</t>
  </si>
  <si>
    <t>15E52DD0</t>
  </si>
  <si>
    <t>Cloud Identity-Aware Proxy (IAP)</t>
  </si>
  <si>
    <t>20112F85</t>
  </si>
  <si>
    <t>Cloud Key Management Service (KMS)</t>
  </si>
  <si>
    <t>4FAF445D</t>
  </si>
  <si>
    <t>Cloud Logging</t>
  </si>
  <si>
    <t>F0187333</t>
  </si>
  <si>
    <t>Cloud Monitoring</t>
  </si>
  <si>
    <t>7F5EF70B</t>
  </si>
  <si>
    <t>Cloud Profiler</t>
  </si>
  <si>
    <t>964E37C5</t>
  </si>
  <si>
    <t>Security Command Center</t>
  </si>
  <si>
    <t>8293FA92</t>
  </si>
  <si>
    <t>Cloud Trace</t>
  </si>
  <si>
    <t>43DFCD6B</t>
  </si>
  <si>
    <t>Error Reporting</t>
  </si>
  <si>
    <t>45132F58</t>
  </si>
  <si>
    <t>Google Cloud Armor</t>
  </si>
  <si>
    <t>F1B1FD24</t>
  </si>
  <si>
    <t>Cloud NAT</t>
  </si>
  <si>
    <t>391958F9</t>
  </si>
  <si>
    <t>Google Cloud Identity</t>
  </si>
  <si>
    <t>🛠️</t>
  </si>
  <si>
    <r>
      <rPr>
        <rFont val="Calibri"/>
        <b/>
        <color rgb="FF152940"/>
        <sz val="12.0"/>
      </rPr>
      <t xml:space="preserve">Other Tools
</t>
    </r>
    <r>
      <rPr>
        <rFont val="Calibri"/>
        <b val="0"/>
        <i/>
        <color rgb="FF152940"/>
        <sz val="11.0"/>
      </rPr>
      <t>Please specify if you use any of the following tools.</t>
    </r>
  </si>
  <si>
    <t>A8E69954</t>
  </si>
  <si>
    <t>Terraform</t>
  </si>
  <si>
    <t>6B1D8C85</t>
  </si>
  <si>
    <t>GitHub</t>
  </si>
  <si>
    <t>Step 5: Policies and Procedures</t>
  </si>
  <si>
    <t>🏅</t>
  </si>
  <si>
    <r>
      <rPr>
        <rFont val="Calibri"/>
        <b/>
        <color rgb="FF152940"/>
        <sz val="12.0"/>
      </rPr>
      <t xml:space="preserve">Compliance Certification
</t>
    </r>
    <r>
      <rPr>
        <rFont val="Calibri"/>
        <i/>
        <color rgb="FF152940"/>
        <sz val="11.0"/>
      </rPr>
      <t>Please indicate which of the following compliance certificates you currently possess.</t>
    </r>
  </si>
  <si>
    <t>911E1538</t>
  </si>
  <si>
    <t>ISO 27001 Certification</t>
  </si>
  <si>
    <t>Replace this cell with link to file showing proof.</t>
  </si>
  <si>
    <t>98924F3A</t>
  </si>
  <si>
    <t>SOC 2 (Type 2)</t>
  </si>
  <si>
    <t>DB059457</t>
  </si>
  <si>
    <t>PCI DSS (Level 1 and 2)</t>
  </si>
  <si>
    <t>BF080F05</t>
  </si>
  <si>
    <t>Australian Credit Licence (ACL)</t>
  </si>
  <si>
    <t>AD83F034</t>
  </si>
  <si>
    <t>Australian Financial Aervices Licence (AFSL)</t>
  </si>
  <si>
    <t>4A6781D4</t>
  </si>
  <si>
    <t>Registered Australian Deposit-taking Institution</t>
  </si>
  <si>
    <t>📚</t>
  </si>
  <si>
    <r>
      <rPr>
        <rFont val="Calibri"/>
        <b/>
        <color rgb="FF152940"/>
        <sz val="12.0"/>
      </rPr>
      <t xml:space="preserve">Documented Policies
</t>
    </r>
    <r>
      <rPr>
        <rFont val="Calibri"/>
        <b val="0"/>
        <i/>
        <color rgb="FF152940"/>
        <sz val="11.0"/>
      </rPr>
      <t>Please state which of the documented policies listed below your organization has in place.</t>
    </r>
  </si>
  <si>
    <t>4A3D8000</t>
  </si>
  <si>
    <r>
      <rPr>
        <rFont val="Calibri"/>
        <b/>
        <i/>
        <color rgb="FF152940"/>
        <sz val="10.0"/>
      </rPr>
      <t>Don’t have documented policies?</t>
    </r>
    <r>
      <rPr>
        <rFont val="Calibri"/>
        <i/>
        <color rgb="FF152940"/>
        <sz val="10.0"/>
      </rPr>
      <t xml:space="preserve"> </t>
    </r>
    <r>
      <rPr>
        <rFont val="Calibri"/>
        <i/>
        <color theme="1"/>
        <sz val="10.0"/>
      </rPr>
      <t>Basiq offers security policy templates for your convenience, it is your responsibility to review and customise them to align with your organisation’s security practices.</t>
    </r>
  </si>
  <si>
    <t>⬅ Select to use
Basiq template.</t>
  </si>
  <si>
    <t>CDR Data Security Policy</t>
  </si>
  <si>
    <t>2444401E</t>
  </si>
  <si>
    <r>
      <rPr>
        <rFont val="Calibri"/>
        <color theme="1"/>
        <sz val="11.0"/>
      </rPr>
      <t xml:space="preserve">Acceptable Use Policy
</t>
    </r>
    <r>
      <rPr>
        <rFont val="Calibri"/>
        <i/>
        <color rgb="FF999999"/>
        <sz val="10.0"/>
      </rPr>
      <t>Set of rules that dictate the appropriate use of an organization's IT resources.</t>
    </r>
  </si>
  <si>
    <t>Replace this cell with
link to file showing
proof.</t>
  </si>
  <si>
    <t>74D5A8FC</t>
  </si>
  <si>
    <r>
      <rPr>
        <rFont val="Calibri"/>
        <color theme="1"/>
        <sz val="11.0"/>
      </rPr>
      <t xml:space="preserve">Access Control
</t>
    </r>
    <r>
      <rPr>
        <rFont val="Calibri"/>
        <i/>
        <color rgb="FF999999"/>
        <sz val="10.0"/>
      </rPr>
      <t>Outlines the procedures and standards for managing access to an organization's information systems.</t>
    </r>
  </si>
  <si>
    <t>E25810AC</t>
  </si>
  <si>
    <r>
      <rPr>
        <rFont val="Calibri"/>
        <color theme="1"/>
        <sz val="11.0"/>
      </rPr>
      <t xml:space="preserve">Administrative Access Control
</t>
    </r>
    <r>
      <rPr>
        <rFont val="Calibri"/>
        <i/>
        <color rgb="FF999999"/>
        <sz val="10.0"/>
      </rPr>
      <t>Set of rules that dictate the procedures and guidelines for granting and managing privileged access.</t>
    </r>
  </si>
  <si>
    <t>648F7E3E</t>
  </si>
  <si>
    <r>
      <rPr>
        <rFont val="Calibri"/>
        <color theme="1"/>
        <sz val="11.0"/>
      </rPr>
      <t xml:space="preserve">Antivirus and Malware Protection
</t>
    </r>
    <r>
      <rPr>
        <rFont val="Calibri"/>
        <i/>
        <color rgb="FF999999"/>
        <sz val="10.0"/>
      </rPr>
      <t>Set of rules that outline the procedures for protecting an organization's from malicious software.</t>
    </r>
  </si>
  <si>
    <t>55CAEEFB</t>
  </si>
  <si>
    <r>
      <rPr>
        <rFont val="Calibri"/>
        <color theme="1"/>
        <sz val="11.0"/>
      </rPr>
      <t xml:space="preserve">Audit Logging and Monitoring
</t>
    </r>
    <r>
      <rPr>
        <rFont val="Calibri"/>
        <i/>
        <color rgb="FF999999"/>
        <sz val="10.0"/>
      </rPr>
      <t>Set of rules that outline the procedures for monitoring and recording access and changes to IT systems.</t>
    </r>
  </si>
  <si>
    <t>0F37C940</t>
  </si>
  <si>
    <r>
      <rPr>
        <rFont val="Calibri"/>
        <color theme="1"/>
        <sz val="11.0"/>
      </rPr>
      <t xml:space="preserve">Background checks
</t>
    </r>
    <r>
      <rPr>
        <rFont val="Calibri"/>
        <i/>
        <color rgb="FF999999"/>
        <sz val="10.0"/>
      </rPr>
      <t>Set of rules that define the procedures for conducting pre-employment checks on personnel.</t>
    </r>
  </si>
  <si>
    <t>D170EE6B</t>
  </si>
  <si>
    <r>
      <rPr>
        <rFont val="Calibri"/>
        <color theme="1"/>
        <sz val="11.0"/>
      </rPr>
      <t xml:space="preserve">CDR Data Handling
</t>
    </r>
    <r>
      <rPr>
        <rFont val="Calibri"/>
        <i/>
        <color rgb="FF999999"/>
        <sz val="10.0"/>
      </rPr>
      <t>Set of rules that define the procedures for handling CDR data in production.</t>
    </r>
  </si>
  <si>
    <t>B5A72B19</t>
  </si>
  <si>
    <r>
      <rPr>
        <rFont val="Calibri"/>
        <color theme="1"/>
        <sz val="11.0"/>
      </rPr>
      <t xml:space="preserve">Data Breach Response
</t>
    </r>
    <r>
      <rPr>
        <rFont val="Calibri"/>
        <i/>
        <color rgb="FF999999"/>
        <sz val="10.0"/>
      </rPr>
      <t>Set of rules that outline the procedures and standards for responding to a data breach incidents.</t>
    </r>
  </si>
  <si>
    <t>C666C169</t>
  </si>
  <si>
    <r>
      <rPr>
        <rFont val="Calibri"/>
        <color theme="1"/>
        <sz val="11.0"/>
      </rPr>
      <t xml:space="preserve">Data Loss Prevention
</t>
    </r>
    <r>
      <rPr>
        <rFont val="Calibri"/>
        <i/>
        <color rgb="FF999999"/>
        <sz val="10.0"/>
      </rPr>
      <t>Set of rules that aim to prevent unauthorized disclosure or leakage of sensitive data.</t>
    </r>
  </si>
  <si>
    <t>086550DF</t>
  </si>
  <si>
    <r>
      <rPr>
        <rFont val="Calibri"/>
        <color theme="1"/>
        <sz val="11.0"/>
      </rPr>
      <t xml:space="preserve">End-User Device Hardening
</t>
    </r>
    <r>
      <rPr>
        <rFont val="Calibri"/>
        <i/>
        <color rgb="FF999999"/>
        <sz val="10.0"/>
      </rPr>
      <t>Set of rules that defines the procedures for securing end-user devices from cyber threats and attacks.</t>
    </r>
  </si>
  <si>
    <t>3B911D1E</t>
  </si>
  <si>
    <r>
      <rPr>
        <rFont val="Calibri"/>
        <color theme="1"/>
        <sz val="11.0"/>
      </rPr>
      <t xml:space="preserve">Firewall Protection
</t>
    </r>
    <r>
      <rPr>
        <rFont val="Calibri"/>
        <i/>
        <color rgb="FF999999"/>
        <sz val="10.0"/>
      </rPr>
      <t>Set of rules that defines the procedures for configuring and managing firewalls to prevent unauthorized access.</t>
    </r>
  </si>
  <si>
    <t>485316BB</t>
  </si>
  <si>
    <r>
      <rPr>
        <rFont val="Calibri"/>
        <color theme="1"/>
        <sz val="11.0"/>
      </rPr>
      <t xml:space="preserve">Information Asset Lifecycle
</t>
    </r>
    <r>
      <rPr>
        <rFont val="Calibri"/>
        <i/>
        <color rgb="FF999999"/>
        <sz val="10.0"/>
      </rPr>
      <t>Set of rules that defines the procedures for managing an information assets throughout their lifecycle.</t>
    </r>
  </si>
  <si>
    <t>6831AB9A</t>
  </si>
  <si>
    <r>
      <rPr>
        <rFont val="Calibri"/>
        <color theme="1"/>
        <sz val="11.0"/>
      </rPr>
      <t xml:space="preserve">Information Security Boundary Review
</t>
    </r>
    <r>
      <rPr>
        <rFont val="Calibri"/>
        <i/>
        <color rgb="FF999999"/>
        <sz val="10.0"/>
      </rPr>
      <t>Set of rules that outlines the procedures for assessing and reviewing an information security boundaries.</t>
    </r>
  </si>
  <si>
    <t>5AC4E948</t>
  </si>
  <si>
    <r>
      <rPr>
        <rFont val="Calibri"/>
        <color theme="1"/>
        <sz val="11.0"/>
      </rPr>
      <t xml:space="preserve">Information Security Governance Framework
</t>
    </r>
    <r>
      <rPr>
        <rFont val="Calibri"/>
        <i/>
        <color rgb="FF999999"/>
        <sz val="10.0"/>
      </rPr>
      <t>Set of rules that establishes the procedures for managing an organization's information security program.</t>
    </r>
  </si>
  <si>
    <t>021344B9</t>
  </si>
  <si>
    <r>
      <rPr>
        <rFont val="Calibri"/>
        <color theme="1"/>
        <sz val="11.0"/>
      </rPr>
      <t xml:space="preserve">Information Security Incident Management
</t>
    </r>
    <r>
      <rPr>
        <rFont val="Calibri"/>
        <i/>
        <color rgb="FF999999"/>
        <sz val="10.0"/>
      </rPr>
      <t>Set of rules that defines the procedures for managing and responding to security incidents.</t>
    </r>
  </si>
  <si>
    <t>A7483F20</t>
  </si>
  <si>
    <r>
      <rPr>
        <rFont val="Calibri"/>
        <color theme="1"/>
        <sz val="11.0"/>
      </rPr>
      <t xml:space="preserve">Information Security Policy
</t>
    </r>
    <r>
      <rPr>
        <rFont val="Calibri"/>
        <i/>
        <color rgb="FF999999"/>
        <sz val="10.0"/>
      </rPr>
      <t>Set of rules that outlines the procedures and standards for protecting an organization's information assets.</t>
    </r>
  </si>
  <si>
    <t>E9B6596A</t>
  </si>
  <si>
    <r>
      <rPr>
        <rFont val="Calibri"/>
        <color theme="1"/>
        <sz val="11.0"/>
      </rPr>
      <t xml:space="preserve">Information Security Risk Management
</t>
    </r>
    <r>
      <rPr>
        <rFont val="Calibri"/>
        <i/>
        <color rgb="FF999999"/>
        <sz val="10.0"/>
      </rPr>
      <t>Set of rules that defines the procedures for identifying, assessing, mitigating, and monitoring IT risks.</t>
    </r>
  </si>
  <si>
    <t>3DA837A1</t>
  </si>
  <si>
    <r>
      <rPr>
        <rFont val="Calibri"/>
        <color theme="1"/>
        <sz val="11.0"/>
      </rPr>
      <t xml:space="preserve">Monitoring of Application Services
</t>
    </r>
    <r>
      <rPr>
        <rFont val="Calibri"/>
        <i/>
        <color rgb="FF999999"/>
        <sz val="10.0"/>
      </rPr>
      <t>Set of rules that outlines the procedures for monitoring the performance, availability, and security of IT systems.</t>
    </r>
  </si>
  <si>
    <t>6801CF92</t>
  </si>
  <si>
    <r>
      <rPr>
        <rFont val="Calibri"/>
        <color theme="1"/>
        <sz val="11.0"/>
      </rPr>
      <t xml:space="preserve">Multi-Factor Authentication (MFA)
</t>
    </r>
    <r>
      <rPr>
        <rFont val="Calibri"/>
        <i/>
        <color rgb="FF999999"/>
        <sz val="10.0"/>
      </rPr>
      <t>Set of rules that defines the procedure for requiring additional authentication factors beyond a password.</t>
    </r>
  </si>
  <si>
    <t>0F72BB6E</t>
  </si>
  <si>
    <r>
      <rPr>
        <rFont val="Calibri"/>
        <color theme="1"/>
        <sz val="11.0"/>
      </rPr>
      <t xml:space="preserve">Operating System and Application Patches
</t>
    </r>
    <r>
      <rPr>
        <rFont val="Calibri"/>
        <i/>
        <color rgb="FF999999"/>
        <sz val="10.0"/>
      </rPr>
      <t>Set of rules that outlines the procedures for installing and updating security patches on IT systems.</t>
    </r>
  </si>
  <si>
    <t>688BB8BD</t>
  </si>
  <si>
    <r>
      <rPr>
        <rFont val="Calibri"/>
        <color theme="1"/>
        <sz val="11.0"/>
      </rPr>
      <t xml:space="preserve">Protecting Data at Rest
</t>
    </r>
    <r>
      <rPr>
        <rFont val="Calibri"/>
        <i/>
        <color rgb="FF999999"/>
        <sz val="10.0"/>
      </rPr>
      <t>Set of rules that defines the procedures for securing sensitive data that is stored on IT systems.</t>
    </r>
  </si>
  <si>
    <t>6A80AA99</t>
  </si>
  <si>
    <r>
      <rPr>
        <rFont val="Calibri"/>
        <color theme="1"/>
        <sz val="11.0"/>
      </rPr>
      <t xml:space="preserve">Protecting Data in Transit
</t>
    </r>
    <r>
      <rPr>
        <rFont val="Calibri"/>
        <i/>
        <color rgb="FF999999"/>
        <sz val="10.0"/>
      </rPr>
      <t>Set of rules that outlines the procedures for securing sensitive data that is transmitted over a network.</t>
    </r>
  </si>
  <si>
    <t>F4D09E1F</t>
  </si>
  <si>
    <r>
      <rPr>
        <rFont val="Calibri"/>
        <color theme="1"/>
        <sz val="11.0"/>
      </rPr>
      <t xml:space="preserve">Secure Authentication
</t>
    </r>
    <r>
      <rPr>
        <rFont val="Calibri"/>
        <i/>
        <color rgb="FF999999"/>
        <sz val="10.0"/>
      </rPr>
      <t>Set of rules that defines the procedures for verifying the identity of users who access IT systems.</t>
    </r>
  </si>
  <si>
    <t>9F18F1B4</t>
  </si>
  <si>
    <r>
      <rPr>
        <rFont val="Calibri"/>
        <color theme="1"/>
        <sz val="11.0"/>
      </rPr>
      <t xml:space="preserve">Secure Coding Practices
</t>
    </r>
    <r>
      <rPr>
        <rFont val="Calibri"/>
        <i/>
        <color rgb="FF999999"/>
        <sz val="10.0"/>
      </rPr>
      <t>Set of rules that outlines the procedures and standards for developing secure software and applications.</t>
    </r>
  </si>
  <si>
    <t>96E754BF</t>
  </si>
  <si>
    <r>
      <rPr>
        <rFont val="Calibri"/>
        <color theme="1"/>
        <sz val="11.0"/>
      </rPr>
      <t xml:space="preserve">Server Hardening
</t>
    </r>
    <r>
      <rPr>
        <rFont val="Calibri"/>
        <i/>
        <color rgb="FF999999"/>
        <sz val="10.0"/>
      </rPr>
      <t>Set of rules that defines the procedures for securing and protecting servers and their operating systems.</t>
    </r>
  </si>
  <si>
    <t>2D6F984F</t>
  </si>
  <si>
    <r>
      <rPr>
        <rFont val="Calibri"/>
        <color theme="1"/>
        <sz val="11.0"/>
      </rPr>
      <t xml:space="preserve">Vulnerability Management
</t>
    </r>
    <r>
      <rPr>
        <rFont val="Calibri"/>
        <i/>
        <color rgb="FF999999"/>
        <sz val="10.0"/>
      </rPr>
      <t>Set of rules that outlines the procedures for mitigating vulnerabilities in IT systems.</t>
    </r>
    <r>
      <rPr>
        <rFont val="Calibri"/>
        <color theme="1"/>
        <sz val="11.0"/>
      </rPr>
      <t xml:space="preserve"> </t>
    </r>
  </si>
  <si>
    <t>Step 6: Backend Implementation Evidence</t>
  </si>
  <si>
    <t>📎</t>
  </si>
  <si>
    <t>The questions listed below require you to demonstrate the implementation of certain controls. Evidence can be presented in various formats, including screenshots, videos, documents, or zip files. To simplify the evaluation process, please ensure that the files are named appropriately based on the corresponding controls.</t>
  </si>
  <si>
    <t>BCF3DF09</t>
  </si>
  <si>
    <r>
      <rPr>
        <rFont val="Calibri"/>
        <color theme="1"/>
        <sz val="11.0"/>
      </rPr>
      <t xml:space="preserve">Demonstrate the setup of MFA for user accounts
</t>
    </r>
    <r>
      <rPr>
        <rFont val="Calibri"/>
        <color rgb="FF999999"/>
        <sz val="10.0"/>
      </rPr>
      <t>Please provide a evidence that illustrates MFA enabled for user accounts with access to CDR data.</t>
    </r>
  </si>
  <si>
    <t>Replace this cell with link to file or insert image in cell.</t>
  </si>
  <si>
    <t>7D6D05F1</t>
  </si>
  <si>
    <r>
      <rPr>
        <rFont val="Calibri"/>
        <color theme="1"/>
        <sz val="11.0"/>
      </rPr>
      <t xml:space="preserve">Identify users with admin access
</t>
    </r>
    <r>
      <rPr>
        <rFont val="Calibri"/>
        <color rgb="FF999999"/>
        <sz val="10.0"/>
      </rPr>
      <t>Please provide evidence that displays the list of users who have privileged access to CDR-relevant systems, such as the application, database, etc.</t>
    </r>
  </si>
  <si>
    <t>E761814D</t>
  </si>
  <si>
    <r>
      <rPr>
        <rFont val="Calibri"/>
        <color theme="1"/>
        <sz val="11.0"/>
      </rPr>
      <t xml:space="preserve">Demonstrate the use of role-based access control
</t>
    </r>
    <r>
      <rPr>
        <rFont val="Calibri"/>
        <color rgb="FF999999"/>
        <sz val="10.0"/>
      </rPr>
      <t>Please provide evidence that illustrates the use of role-based access control for systems that store and access CDR data.</t>
    </r>
  </si>
  <si>
    <t>DF43D04A</t>
  </si>
  <si>
    <r>
      <rPr>
        <rFont val="Calibri"/>
        <color theme="1"/>
        <sz val="11.0"/>
      </rPr>
      <t xml:space="preserve">Demonstrate configuration of strong password controls
</t>
    </r>
    <r>
      <rPr>
        <rFont val="Calibri"/>
        <color rgb="FF999999"/>
        <sz val="10.0"/>
      </rPr>
      <t>Please provide evidence that displays the configuration of strong password controls.</t>
    </r>
  </si>
  <si>
    <t>5FB00D8C</t>
  </si>
  <si>
    <r>
      <rPr>
        <rFont val="Calibri"/>
        <color theme="1"/>
        <sz val="11.0"/>
      </rPr>
      <t xml:space="preserve">Provide evidence of logging
</t>
    </r>
    <r>
      <rPr>
        <rFont val="Calibri"/>
        <color rgb="FF999999"/>
        <sz val="10.0"/>
      </rPr>
      <t>Please provide evidence that shows logging configuration and provides evidence that critical events are being recorded for systems with access to CDR data.</t>
    </r>
  </si>
  <si>
    <t>DF046820</t>
  </si>
  <si>
    <r>
      <rPr>
        <rFont val="Calibri"/>
        <color theme="1"/>
        <sz val="11.0"/>
      </rPr>
      <t xml:space="preserve">Demonstrate protection of network access
</t>
    </r>
    <r>
      <rPr>
        <rFont val="Calibri"/>
        <color rgb="FF999999"/>
        <sz val="10.0"/>
      </rPr>
      <t>Please provide evidence that demonstrates that the network hosting CDR data is protected from unnecessary external access.</t>
    </r>
  </si>
  <si>
    <t>351C5D6C</t>
  </si>
  <si>
    <r>
      <rPr>
        <rFont val="Calibri"/>
        <color theme="1"/>
        <sz val="11.0"/>
      </rPr>
      <t xml:space="preserve">Demonstrate encryption of data in transit
</t>
    </r>
    <r>
      <rPr>
        <rFont val="Calibri"/>
        <color rgb="FF999999"/>
        <sz val="10.0"/>
      </rPr>
      <t>Please provide evidence that illustrates the encryption of CDR data in transit, for example, by displaying the SSL setup configuration.</t>
    </r>
  </si>
  <si>
    <t>D6A32437</t>
  </si>
  <si>
    <r>
      <rPr>
        <rFont val="Calibri"/>
        <color theme="1"/>
        <sz val="11.0"/>
      </rPr>
      <t xml:space="preserve">Demonstrate encryption of data at rest
</t>
    </r>
    <r>
      <rPr>
        <rFont val="Calibri"/>
        <color rgb="FF999999"/>
        <sz val="10.0"/>
      </rPr>
      <t>Please provide evidence that confirms that CDR data is encrypted at rest.</t>
    </r>
  </si>
  <si>
    <t>123992AD</t>
  </si>
  <si>
    <r>
      <rPr>
        <rFont val="Calibri"/>
        <color theme="1"/>
        <sz val="11.0"/>
      </rPr>
      <t xml:space="preserve">Demonstrate patching of services and libraries
</t>
    </r>
    <r>
      <rPr>
        <rFont val="Calibri"/>
        <color rgb="FF999999"/>
        <sz val="10.0"/>
      </rPr>
      <t>Please provide evidence that demonstrates the patching or updating of cloud services or code libraries.</t>
    </r>
  </si>
  <si>
    <t>9A0B928C</t>
  </si>
  <si>
    <r>
      <rPr>
        <rFont val="Calibri"/>
        <color theme="1"/>
        <sz val="11.0"/>
      </rPr>
      <t xml:space="preserve">Demonstrate secure coding practices
</t>
    </r>
    <r>
      <rPr>
        <rFont val="Calibri"/>
        <color rgb="FF999999"/>
        <sz val="10.0"/>
      </rPr>
      <t>Please provide evidence that illustrates the use of secure coding practices, such as a pull request review, configuration of CI CD pipeline.</t>
    </r>
  </si>
  <si>
    <t>CF9743F6</t>
  </si>
  <si>
    <r>
      <rPr>
        <rFont val="Calibri"/>
        <color theme="1"/>
        <sz val="11.0"/>
      </rPr>
      <t xml:space="preserve">Demonstrate vulnerability scanning
</t>
    </r>
    <r>
      <rPr>
        <rFont val="Calibri"/>
        <color rgb="FF999999"/>
        <sz val="10.0"/>
      </rPr>
      <t>Please provide evidence, documentation or a report of a vulnerability scan or penetration testing of the environment where CDR data is hosted.</t>
    </r>
  </si>
  <si>
    <t>AE7303E9</t>
  </si>
  <si>
    <r>
      <rPr>
        <rFont val="Calibri"/>
        <color theme="1"/>
        <sz val="11.0"/>
      </rPr>
      <t xml:space="preserve">Demonstrate use of anti-virus tools on end-devices
</t>
    </r>
    <r>
      <rPr>
        <rFont val="Calibri"/>
        <color rgb="FF999999"/>
        <sz val="10.0"/>
      </rPr>
      <t>Please provide evidence that shows an anti-virus and anti-malware application being used on an end-user device.</t>
    </r>
  </si>
  <si>
    <r>
      <rPr>
        <rFont val="Calibri"/>
        <color theme="1"/>
        <sz val="11.0"/>
      </rPr>
      <t xml:space="preserve">Provide a diagram of the system where CDR data will be held
</t>
    </r>
    <r>
      <rPr>
        <rFont val="Calibri"/>
        <color rgb="FF999999"/>
        <sz val="10.0"/>
      </rPr>
      <t>It's important that the diagram clearly identifies the boundaries of the various services and where the CDR data will be held.</t>
    </r>
  </si>
  <si>
    <t xml:space="preserve">Please provide a copy of your certificate of currency for your cyber liability insurance policy and your professional liability insurance policy
</t>
  </si>
  <si>
    <r>
      <rPr>
        <rFont val="Calibri, Arial"/>
        <b/>
        <color rgb="FF999999"/>
        <sz val="11.0"/>
      </rPr>
      <t xml:space="preserve">Completed the form? 
</t>
    </r>
    <r>
      <rPr>
        <rFont val="Calibri, Arial"/>
        <b val="0"/>
        <i/>
        <color rgb="FF999999"/>
        <sz val="10.0"/>
      </rPr>
      <t xml:space="preserve">Once you have completed the form you can let us know by selecting the "Approvals" item from the File menu above. Just send the approval request to compliance@basiq.io and someone will respond to you. 
</t>
    </r>
    <r>
      <rPr>
        <rFont val="Calibri, Arial"/>
        <b/>
        <i/>
        <color rgb="FF999999"/>
        <sz val="10.0"/>
      </rPr>
      <t>PS. You can also use this feature if you have any questions or are unsure how to complete the form.</t>
    </r>
  </si>
  <si>
    <t>ver 2.0</t>
  </si>
</sst>
</file>

<file path=xl/styles.xml><?xml version="1.0" encoding="utf-8"?>
<styleSheet xmlns="http://schemas.openxmlformats.org/spreadsheetml/2006/main" xmlns:x14ac="http://schemas.microsoft.com/office/spreadsheetml/2009/9/ac" xmlns:mc="http://schemas.openxmlformats.org/markup-compatibility/2006">
  <fonts count="58">
    <font>
      <sz val="12.0"/>
      <color theme="1"/>
      <name val="Calibri"/>
      <scheme val="minor"/>
    </font>
    <font>
      <sz val="11.0"/>
      <color rgb="FFFFFFFF"/>
      <name val="Calibri"/>
      <scheme val="minor"/>
    </font>
    <font>
      <sz val="20.0"/>
      <color theme="1"/>
      <name val="Calibri"/>
      <scheme val="minor"/>
    </font>
    <font>
      <sz val="11.0"/>
      <color theme="1"/>
      <name val="Calibri"/>
      <scheme val="minor"/>
    </font>
    <font>
      <sz val="9.0"/>
      <color rgb="FFB4A7D6"/>
      <name val="Calibri"/>
      <scheme val="minor"/>
    </font>
    <font>
      <sz val="24.0"/>
      <color theme="1"/>
      <name val="Lexend"/>
    </font>
    <font>
      <sz val="23.0"/>
      <color rgb="FF152940"/>
      <name val="Lexend"/>
    </font>
    <font>
      <sz val="30.0"/>
      <color theme="1"/>
      <name val="Calibri"/>
      <scheme val="minor"/>
    </font>
    <font>
      <sz val="12.0"/>
      <color theme="1"/>
      <name val="Lexend"/>
    </font>
    <font>
      <sz val="20.0"/>
      <color rgb="FF0075DC"/>
      <name val="Calibri"/>
      <scheme val="minor"/>
    </font>
    <font>
      <sz val="11.0"/>
      <color rgb="FFE7EBEC"/>
      <name val="Calibri"/>
      <scheme val="minor"/>
    </font>
    <font>
      <sz val="10.0"/>
      <color rgb="FF152940"/>
      <name val="Lexend"/>
    </font>
    <font>
      <sz val="11.0"/>
      <color rgb="FF152940"/>
      <name val="Calibri"/>
      <scheme val="minor"/>
    </font>
    <font>
      <sz val="11.0"/>
      <color rgb="FFF3F3F3"/>
      <name val="Calibri"/>
      <scheme val="minor"/>
    </font>
    <font>
      <sz val="11.0"/>
      <color rgb="FF666666"/>
      <name val="Calibri"/>
      <scheme val="minor"/>
    </font>
    <font>
      <sz val="13.0"/>
      <color theme="1"/>
      <name val="Spectral"/>
    </font>
    <font>
      <u/>
      <sz val="11.0"/>
      <color rgb="FF0563C1"/>
      <name val="Spectral"/>
    </font>
    <font>
      <sz val="11.0"/>
      <color rgb="FFB7E1CD"/>
      <name val="Calibri"/>
      <scheme val="minor"/>
    </font>
    <font>
      <u/>
      <color rgb="FF0000FF"/>
    </font>
    <font>
      <u/>
      <sz val="13.0"/>
      <color rgb="FF0000FF"/>
      <name val="Spectral"/>
    </font>
    <font>
      <sz val="10.0"/>
      <color theme="1"/>
      <name val="Spectral"/>
    </font>
    <font>
      <u/>
      <sz val="13.0"/>
      <color rgb="FF0563C1"/>
      <name val="Spectral"/>
    </font>
    <font>
      <u/>
      <sz val="11.0"/>
      <color rgb="FF0563C1"/>
      <name val="Calibri"/>
      <scheme val="minor"/>
    </font>
    <font>
      <sz val="12.0"/>
      <color rgb="FF152940"/>
      <name val="Lexend"/>
    </font>
    <font>
      <sz val="11.0"/>
      <color rgb="FFCFE4FF"/>
      <name val="Calibri"/>
      <scheme val="minor"/>
    </font>
    <font>
      <sz val="15.0"/>
      <color rgb="FFFF9900"/>
      <name val="Calibri"/>
      <scheme val="minor"/>
    </font>
    <font>
      <sz val="10.0"/>
      <color rgb="FF0E101A"/>
      <name val="Calibri"/>
      <scheme val="minor"/>
    </font>
    <font/>
    <font>
      <u/>
      <sz val="11.0"/>
      <color rgb="FF0000FF"/>
    </font>
    <font>
      <b/>
      <sz val="12.0"/>
      <color rgb="FFFFFFFF"/>
      <name val="Calibri"/>
      <scheme val="minor"/>
    </font>
    <font>
      <b/>
      <sz val="20.0"/>
      <color theme="1"/>
      <name val="Calibri"/>
      <scheme val="minor"/>
    </font>
    <font>
      <b/>
      <sz val="12.0"/>
      <color rgb="FF152940"/>
      <name val="Calibri"/>
      <scheme val="minor"/>
    </font>
    <font>
      <b/>
      <sz val="12.0"/>
      <color rgb="FFB4A7D6"/>
      <name val="Calibri"/>
      <scheme val="minor"/>
    </font>
    <font>
      <b/>
      <sz val="12.0"/>
      <color rgb="FFF1F7FF"/>
      <name val="Calibri"/>
      <scheme val="minor"/>
    </font>
    <font>
      <b/>
      <sz val="12.0"/>
      <color theme="1"/>
      <name val="Calibri"/>
      <scheme val="minor"/>
    </font>
    <font>
      <i/>
      <sz val="11.0"/>
      <color rgb="FFCCCCCC"/>
      <name val="Calibri"/>
      <scheme val="minor"/>
    </font>
    <font>
      <sz val="11.0"/>
      <color rgb="FF0E101A"/>
      <name val="Calibri"/>
      <scheme val="minor"/>
    </font>
    <font>
      <b/>
      <sz val="11.0"/>
      <color rgb="FF152940"/>
      <name val="Calibri"/>
      <scheme val="minor"/>
    </font>
    <font>
      <sz val="11.0"/>
      <color rgb="FFF1F7FF"/>
      <name val="Calibri"/>
      <scheme val="minor"/>
    </font>
    <font>
      <sz val="11.0"/>
      <color rgb="FF000000"/>
      <name val="Calibri"/>
      <scheme val="minor"/>
    </font>
    <font>
      <b/>
      <sz val="11.0"/>
      <color rgb="FF0E101A"/>
      <name val="Calibri"/>
      <scheme val="minor"/>
    </font>
    <font>
      <sz val="11.0"/>
      <color rgb="FFC5FCDF"/>
      <name val="Calibri"/>
      <scheme val="minor"/>
    </font>
    <font>
      <sz val="11.0"/>
      <color rgb="FFEFFFF5"/>
      <name val="Calibri"/>
      <scheme val="minor"/>
    </font>
    <font>
      <sz val="20.0"/>
      <color rgb="FFFFFFFF"/>
      <name val="Calibri"/>
      <scheme val="minor"/>
    </font>
    <font>
      <sz val="11.0"/>
      <color rgb="FFF9E6BA"/>
      <name val="Calibri"/>
      <scheme val="minor"/>
    </font>
    <font>
      <sz val="18.0"/>
      <color rgb="FFFFFFFF"/>
      <name val="Calibri"/>
      <scheme val="minor"/>
    </font>
    <font>
      <sz val="11.0"/>
      <color rgb="FFFDF8EC"/>
      <name val="Calibri"/>
      <scheme val="minor"/>
    </font>
    <font>
      <sz val="8.0"/>
      <color rgb="FF999999"/>
      <name val="Calibri"/>
      <scheme val="minor"/>
    </font>
    <font>
      <i/>
      <sz val="10.0"/>
      <color theme="1"/>
      <name val="Calibri"/>
      <scheme val="minor"/>
    </font>
    <font>
      <sz val="9.0"/>
      <color rgb="FF9900FF"/>
      <name val="Calibri"/>
      <scheme val="minor"/>
    </font>
    <font>
      <u/>
      <sz val="8.0"/>
      <color rgb="FF999999"/>
      <name val="Calibri"/>
      <scheme val="minor"/>
    </font>
    <font>
      <sz val="11.0"/>
      <color rgb="FFF8E0FC"/>
      <name val="Calibri"/>
      <scheme val="minor"/>
    </font>
    <font>
      <sz val="10.0"/>
      <color rgb="FF152940"/>
      <name val="Calibri"/>
      <scheme val="minor"/>
    </font>
    <font>
      <sz val="11.0"/>
      <color rgb="FFFDF4FF"/>
      <name val="Calibri"/>
      <scheme val="minor"/>
    </font>
    <font>
      <sz val="12.0"/>
      <color theme="1"/>
      <name val="Calibri"/>
    </font>
    <font>
      <b/>
      <sz val="11.0"/>
      <color rgb="FF999999"/>
      <name val="Calibri"/>
    </font>
    <font>
      <sz val="8.0"/>
      <color rgb="FFFFFFFF"/>
      <name val="Calibri"/>
      <scheme val="minor"/>
    </font>
    <font>
      <sz val="8.0"/>
      <color theme="1"/>
      <name val="Calibri"/>
      <scheme val="minor"/>
    </font>
  </fonts>
  <fills count="16">
    <fill>
      <patternFill patternType="none"/>
    </fill>
    <fill>
      <patternFill patternType="lightGray"/>
    </fill>
    <fill>
      <patternFill patternType="solid">
        <fgColor rgb="FF0075DC"/>
        <bgColor rgb="FF0075DC"/>
      </patternFill>
    </fill>
    <fill>
      <patternFill patternType="solid">
        <fgColor rgb="FFFFFFFF"/>
        <bgColor rgb="FFFFFFFF"/>
      </patternFill>
    </fill>
    <fill>
      <patternFill patternType="solid">
        <fgColor rgb="FFE7EBEC"/>
        <bgColor rgb="FFE7EBEC"/>
      </patternFill>
    </fill>
    <fill>
      <patternFill patternType="solid">
        <fgColor rgb="FFF3F3F3"/>
        <bgColor rgb="FFF3F3F3"/>
      </patternFill>
    </fill>
    <fill>
      <patternFill patternType="solid">
        <fgColor rgb="FFFFFDF9"/>
        <bgColor rgb="FFFFFDF9"/>
      </patternFill>
    </fill>
    <fill>
      <patternFill patternType="solid">
        <fgColor rgb="FFFF9900"/>
        <bgColor rgb="FFFF9900"/>
      </patternFill>
    </fill>
    <fill>
      <patternFill patternType="solid">
        <fgColor rgb="FFCFE4FF"/>
        <bgColor rgb="FFCFE4FF"/>
      </patternFill>
    </fill>
    <fill>
      <patternFill patternType="solid">
        <fgColor rgb="FFF1F7FF"/>
        <bgColor rgb="FFF1F7FF"/>
      </patternFill>
    </fill>
    <fill>
      <patternFill patternType="solid">
        <fgColor rgb="FFC5FCDF"/>
        <bgColor rgb="FFC5FCDF"/>
      </patternFill>
    </fill>
    <fill>
      <patternFill patternType="solid">
        <fgColor rgb="FFEFFFF5"/>
        <bgColor rgb="FFEFFFF5"/>
      </patternFill>
    </fill>
    <fill>
      <patternFill patternType="solid">
        <fgColor rgb="FFF9E6BA"/>
        <bgColor rgb="FFF9E6BA"/>
      </patternFill>
    </fill>
    <fill>
      <patternFill patternType="solid">
        <fgColor rgb="FFFDF8EC"/>
        <bgColor rgb="FFFDF8EC"/>
      </patternFill>
    </fill>
    <fill>
      <patternFill patternType="solid">
        <fgColor rgb="FFFDF4FF"/>
        <bgColor rgb="FFFDF4FF"/>
      </patternFill>
    </fill>
    <fill>
      <patternFill patternType="solid">
        <fgColor rgb="FFF8E0FC"/>
        <bgColor rgb="FFF8E0FC"/>
      </patternFill>
    </fill>
  </fills>
  <borders count="25">
    <border/>
    <border>
      <left style="thin">
        <color rgb="FF0075DC"/>
      </left>
      <right style="thin">
        <color rgb="FF0075DC"/>
      </right>
      <top style="thin">
        <color rgb="FF0075DC"/>
      </top>
      <bottom style="thin">
        <color rgb="FF0075DC"/>
      </bottom>
    </border>
    <border>
      <left style="thin">
        <color rgb="FFFFFFFF"/>
      </left>
      <right style="thin">
        <color rgb="FFFFFFFF"/>
      </right>
      <bottom style="thin">
        <color rgb="FFFFFFFF"/>
      </bottom>
    </border>
    <border>
      <left style="thin">
        <color rgb="FFFFFFFF"/>
      </left>
      <top style="thin">
        <color rgb="FFFFFFFF"/>
      </top>
      <bottom style="thin">
        <color rgb="FFFFFFFF"/>
      </bottom>
    </border>
    <border>
      <left style="thin">
        <color rgb="FFFFFFFF"/>
      </left>
      <right style="thin">
        <color rgb="FFFFFFFF"/>
      </right>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E7EBEC"/>
      </left>
      <right style="thin">
        <color rgb="FFE7EBEC"/>
      </right>
      <top style="thin">
        <color rgb="FFE7EBEC"/>
      </top>
      <bottom style="thin">
        <color rgb="FFE7EBEC"/>
      </bottom>
    </border>
    <border>
      <left style="thin">
        <color rgb="FFFFFFFF"/>
      </left>
      <right style="thin">
        <color rgb="FFFFFFFF"/>
      </right>
    </border>
    <border>
      <left style="thin">
        <color rgb="FFF3F3F3"/>
      </left>
      <right style="thin">
        <color rgb="FFF3F3F3"/>
      </right>
      <top style="thin">
        <color rgb="FFF3F3F3"/>
      </top>
      <bottom style="thin">
        <color rgb="FFF3F3F3"/>
      </bottom>
    </border>
    <border>
      <left style="thin">
        <color rgb="FFFFFFFF"/>
      </left>
      <top style="thin">
        <color rgb="FFFFFFFF"/>
      </top>
    </border>
    <border>
      <left style="thin">
        <color rgb="FFD9D9D9"/>
      </left>
      <right style="thin">
        <color rgb="FFD9D9D9"/>
      </right>
      <top style="thin">
        <color rgb="FFD9D9D9"/>
      </top>
      <bottom style="thin">
        <color rgb="FFD9D9D9"/>
      </bottom>
    </border>
    <border>
      <left style="thin">
        <color rgb="FFFF9900"/>
      </left>
      <right style="thin">
        <color rgb="FFFF9900"/>
      </right>
      <top style="thin">
        <color rgb="FFFF9900"/>
      </top>
      <bottom style="thin">
        <color rgb="FFFF9900"/>
      </bottom>
    </border>
    <border>
      <left style="thin">
        <color rgb="FFCFE4FF"/>
      </left>
      <right style="thin">
        <color rgb="FFCFE4FF"/>
      </right>
      <bottom style="thin">
        <color rgb="FFCFE4FF"/>
      </bottom>
    </border>
    <border>
      <left style="thin">
        <color rgb="FFCFE4FF"/>
      </left>
      <right style="thin">
        <color rgb="FFCFE4FF"/>
      </right>
      <top style="thin">
        <color rgb="FFCFE4FF"/>
      </top>
      <bottom style="thin">
        <color rgb="FFCFE4FF"/>
      </bottom>
    </border>
    <border>
      <left style="thin">
        <color rgb="FFF1F7FF"/>
      </left>
      <right style="thin">
        <color rgb="FFF1F7FF"/>
      </right>
      <top style="thin">
        <color rgb="FFF1F7FF"/>
      </top>
      <bottom style="thin">
        <color rgb="FFF1F7FF"/>
      </bottom>
    </border>
    <border>
      <left style="thin">
        <color rgb="FFC5FCDF"/>
      </left>
      <right style="thin">
        <color rgb="FFC5FCDF"/>
      </right>
      <top style="thin">
        <color rgb="FFC5FCDF"/>
      </top>
      <bottom style="thin">
        <color rgb="FFC5FCDF"/>
      </bottom>
    </border>
    <border>
      <left style="thin">
        <color rgb="FFEFFFF5"/>
      </left>
      <right style="thin">
        <color rgb="FFEFFFF5"/>
      </right>
      <top style="thin">
        <color rgb="FFEFFFF5"/>
      </top>
      <bottom style="thin">
        <color rgb="FFEFFFF5"/>
      </bottom>
    </border>
    <border>
      <left style="thin">
        <color rgb="FFF9E6BA"/>
      </left>
      <right style="thin">
        <color rgb="FFF9E6BA"/>
      </right>
      <top style="thin">
        <color rgb="FFF9E6BA"/>
      </top>
      <bottom style="thin">
        <color rgb="FFF9E6BA"/>
      </bottom>
    </border>
    <border>
      <left style="thin">
        <color rgb="FFFDF8EC"/>
      </left>
      <right style="thin">
        <color rgb="FFFDF8EC"/>
      </right>
      <top style="thin">
        <color rgb="FFFDF8EC"/>
      </top>
      <bottom style="thin">
        <color rgb="FFFDF8EC"/>
      </bottom>
    </border>
    <border>
      <left style="thin">
        <color rgb="FFFFFFFF"/>
      </left>
      <right style="thin">
        <color rgb="FFFDF4FF"/>
      </right>
      <top style="thin">
        <color rgb="FFF9D3FF"/>
      </top>
      <bottom style="thin">
        <color rgb="FFF9D3FF"/>
      </bottom>
    </border>
    <border>
      <left style="thin">
        <color rgb="FFFDF4FF"/>
      </left>
      <top style="thin">
        <color rgb="FFF9D3FF"/>
      </top>
      <bottom style="thin">
        <color rgb="FFF9D3FF"/>
      </bottom>
    </border>
    <border>
      <left style="thin">
        <color rgb="FFF8E0FC"/>
      </left>
      <right style="thin">
        <color rgb="FFF8E0FC"/>
      </right>
      <top style="thin">
        <color rgb="FFF8E0FC"/>
      </top>
      <bottom style="thin">
        <color rgb="FFF8E0FC"/>
      </bottom>
    </border>
    <border>
      <left style="thin">
        <color rgb="FFFDF4FF"/>
      </left>
      <right style="thin">
        <color rgb="FFFDF4FF"/>
      </right>
      <top style="thin">
        <color rgb="FFFDF4FF"/>
      </top>
      <bottom style="thin">
        <color rgb="FFFDF4FF"/>
      </bottom>
    </border>
    <border>
      <right style="thin">
        <color rgb="FFF1F7FF"/>
      </right>
      <top style="thin">
        <color rgb="FFF1F7FF"/>
      </top>
      <bottom style="thin">
        <color rgb="FFF1F7FF"/>
      </bottom>
    </border>
  </borders>
  <cellStyleXfs count="1">
    <xf borderId="0" fillId="0" fontId="0" numFmtId="0" applyAlignment="1" applyFont="1"/>
  </cellStyleXfs>
  <cellXfs count="201">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2" fontId="2" numFmtId="0" xfId="0" applyAlignment="1" applyBorder="1" applyFont="1">
      <alignment horizontal="center" vertical="center"/>
    </xf>
    <xf borderId="1" fillId="2" fontId="3" numFmtId="0" xfId="0" applyAlignment="1" applyBorder="1" applyFont="1">
      <alignment readingOrder="0"/>
    </xf>
    <xf borderId="1" fillId="2" fontId="4" numFmtId="0" xfId="0" applyBorder="1" applyFont="1"/>
    <xf borderId="1" fillId="2" fontId="3" numFmtId="0" xfId="0" applyBorder="1" applyFont="1"/>
    <xf borderId="1" fillId="2" fontId="3" numFmtId="0" xfId="0" applyAlignment="1" applyBorder="1" applyFont="1">
      <alignment horizontal="right" readingOrder="0" vertical="center"/>
    </xf>
    <xf borderId="2" fillId="3" fontId="1" numFmtId="0" xfId="0" applyBorder="1" applyFill="1" applyFont="1"/>
    <xf borderId="2" fillId="3" fontId="2" numFmtId="0" xfId="0" applyAlignment="1" applyBorder="1" applyFont="1">
      <alignment horizontal="center" vertical="center"/>
    </xf>
    <xf borderId="2" fillId="3" fontId="3" numFmtId="0" xfId="0" applyBorder="1" applyFont="1"/>
    <xf borderId="2" fillId="3" fontId="4" numFmtId="0" xfId="0" applyBorder="1" applyFont="1"/>
    <xf borderId="2" fillId="3" fontId="1" numFmtId="0" xfId="0" applyAlignment="1" applyBorder="1" applyFont="1">
      <alignment vertical="center"/>
    </xf>
    <xf borderId="2" fillId="3" fontId="4" numFmtId="0" xfId="0" applyAlignment="1" applyBorder="1" applyFont="1">
      <alignment horizontal="center" vertical="center"/>
    </xf>
    <xf borderId="2" fillId="3" fontId="5" numFmtId="0" xfId="0" applyAlignment="1" applyBorder="1" applyFont="1">
      <alignment readingOrder="0" vertical="center"/>
    </xf>
    <xf borderId="2" fillId="3" fontId="6" numFmtId="9" xfId="0" applyAlignment="1" applyBorder="1" applyFont="1" applyNumberFormat="1">
      <alignment horizontal="center" vertical="center"/>
    </xf>
    <xf borderId="2" fillId="3" fontId="7" numFmtId="0" xfId="0" applyAlignment="1" applyBorder="1" applyFont="1">
      <alignment horizontal="center" vertical="center"/>
    </xf>
    <xf borderId="2" fillId="3" fontId="3" numFmtId="0" xfId="0" applyAlignment="1" applyBorder="1" applyFont="1">
      <alignment readingOrder="0" vertical="center"/>
    </xf>
    <xf borderId="2" fillId="3" fontId="3" numFmtId="0" xfId="0" applyAlignment="1" applyBorder="1" applyFont="1">
      <alignment vertical="center"/>
    </xf>
    <xf borderId="3" fillId="3" fontId="1" numFmtId="0" xfId="0" applyBorder="1" applyFont="1"/>
    <xf borderId="3" fillId="3" fontId="2" numFmtId="0" xfId="0" applyAlignment="1" applyBorder="1" applyFont="1">
      <alignment horizontal="center" vertical="center"/>
    </xf>
    <xf borderId="4" fillId="3" fontId="3" numFmtId="0" xfId="0" applyBorder="1" applyFont="1"/>
    <xf borderId="5" fillId="3" fontId="4" numFmtId="0" xfId="0" applyBorder="1" applyFont="1"/>
    <xf borderId="4" fillId="3" fontId="3" numFmtId="0" xfId="0" applyAlignment="1" applyBorder="1" applyFont="1">
      <alignment readingOrder="0"/>
    </xf>
    <xf borderId="4" fillId="3" fontId="1" numFmtId="0" xfId="0" applyBorder="1" applyFont="1"/>
    <xf borderId="4" fillId="3" fontId="2" numFmtId="0" xfId="0" applyAlignment="1" applyBorder="1" applyFont="1">
      <alignment horizontal="center" vertical="center"/>
    </xf>
    <xf borderId="4" fillId="3" fontId="4" numFmtId="0" xfId="0" applyBorder="1" applyFont="1"/>
    <xf borderId="6" fillId="3" fontId="1" numFmtId="0" xfId="0" applyBorder="1" applyFont="1"/>
    <xf borderId="6" fillId="3" fontId="2" numFmtId="0" xfId="0" applyAlignment="1" applyBorder="1" applyFont="1">
      <alignment horizontal="center" vertical="center"/>
    </xf>
    <xf borderId="6" fillId="3" fontId="3" numFmtId="0" xfId="0" applyAlignment="1" applyBorder="1" applyFont="1">
      <alignment readingOrder="0"/>
    </xf>
    <xf borderId="6" fillId="3" fontId="4" numFmtId="0" xfId="0" applyBorder="1" applyFont="1"/>
    <xf borderId="6" fillId="3" fontId="3" numFmtId="0" xfId="0" applyBorder="1" applyFont="1"/>
    <xf borderId="7" fillId="4" fontId="1" numFmtId="0" xfId="0" applyAlignment="1" applyBorder="1" applyFill="1" applyFont="1">
      <alignment vertical="center"/>
    </xf>
    <xf borderId="7" fillId="4" fontId="2" numFmtId="0" xfId="0" applyAlignment="1" applyBorder="1" applyFont="1">
      <alignment horizontal="center" vertical="center"/>
    </xf>
    <xf borderId="7" fillId="4" fontId="8" numFmtId="0" xfId="0" applyAlignment="1" applyBorder="1" applyFont="1">
      <alignment readingOrder="0" vertical="center"/>
    </xf>
    <xf borderId="7" fillId="4" fontId="9" numFmtId="0" xfId="0" applyAlignment="1" applyBorder="1" applyFont="1">
      <alignment horizontal="center" readingOrder="0" vertical="center"/>
    </xf>
    <xf borderId="7" fillId="4" fontId="10" numFmtId="10" xfId="0" applyAlignment="1" applyBorder="1" applyFont="1" applyNumberFormat="1">
      <alignment vertical="center"/>
    </xf>
    <xf borderId="7" fillId="4" fontId="11" numFmtId="0" xfId="0" applyAlignment="1" applyBorder="1" applyFont="1">
      <alignment horizontal="center" readingOrder="0" vertical="center"/>
    </xf>
    <xf borderId="7" fillId="4" fontId="3" numFmtId="0" xfId="0" applyAlignment="1" applyBorder="1" applyFont="1">
      <alignment vertical="center"/>
    </xf>
    <xf borderId="8" fillId="3" fontId="1" numFmtId="0" xfId="0" applyBorder="1" applyFont="1"/>
    <xf borderId="8" fillId="3" fontId="2" numFmtId="0" xfId="0" applyAlignment="1" applyBorder="1" applyFont="1">
      <alignment horizontal="center" vertical="center"/>
    </xf>
    <xf borderId="8" fillId="3" fontId="3" numFmtId="0" xfId="0" applyAlignment="1" applyBorder="1" applyFont="1">
      <alignment readingOrder="0"/>
    </xf>
    <xf borderId="8" fillId="3" fontId="4" numFmtId="0" xfId="0" applyBorder="1" applyFont="1"/>
    <xf borderId="8" fillId="3" fontId="3" numFmtId="0" xfId="0" applyBorder="1" applyFont="1"/>
    <xf borderId="9" fillId="5" fontId="1" numFmtId="0" xfId="0" applyAlignment="1" applyBorder="1" applyFill="1" applyFont="1">
      <alignment vertical="center"/>
    </xf>
    <xf borderId="9" fillId="5" fontId="2" numFmtId="0" xfId="0" applyAlignment="1" applyBorder="1" applyFont="1">
      <alignment horizontal="center" readingOrder="0" vertical="center"/>
    </xf>
    <xf borderId="9" fillId="5" fontId="12" numFmtId="0" xfId="0" applyAlignment="1" applyBorder="1" applyFont="1">
      <alignment readingOrder="0" vertical="center"/>
    </xf>
    <xf borderId="9" fillId="5" fontId="4" numFmtId="0" xfId="0" applyAlignment="1" applyBorder="1" applyFont="1">
      <alignment vertical="center"/>
    </xf>
    <xf borderId="9" fillId="5" fontId="13" numFmtId="10" xfId="0" applyAlignment="1" applyBorder="1" applyFont="1" applyNumberFormat="1">
      <alignment vertical="center"/>
    </xf>
    <xf borderId="9" fillId="5" fontId="3" numFmtId="0" xfId="0" applyAlignment="1" applyBorder="1" applyFont="1">
      <alignment vertical="center"/>
    </xf>
    <xf borderId="6" fillId="3" fontId="1" numFmtId="0" xfId="0" applyAlignment="1" applyBorder="1" applyFont="1">
      <alignment vertical="center"/>
    </xf>
    <xf borderId="6" fillId="3" fontId="14" numFmtId="0" xfId="0" applyAlignment="1" applyBorder="1" applyFont="1">
      <alignment readingOrder="0" vertical="center"/>
    </xf>
    <xf borderId="6" fillId="3" fontId="4" numFmtId="0" xfId="0" applyAlignment="1" applyBorder="1" applyFont="1">
      <alignment vertical="center"/>
    </xf>
    <xf borderId="6" fillId="3" fontId="3" numFmtId="0" xfId="0" applyAlignment="1" applyBorder="1" applyFont="1">
      <alignment vertical="center"/>
    </xf>
    <xf borderId="10" fillId="3" fontId="2" numFmtId="0" xfId="0" applyAlignment="1" applyBorder="1" applyFont="1">
      <alignment horizontal="center" vertical="center"/>
    </xf>
    <xf borderId="11" fillId="6" fontId="15" numFmtId="0" xfId="0" applyAlignment="1" applyBorder="1" applyFill="1" applyFont="1">
      <alignment readingOrder="0" shrinkToFit="0" vertical="center" wrapText="1"/>
    </xf>
    <xf borderId="6" fillId="3" fontId="4" numFmtId="0" xfId="0" applyAlignment="1" applyBorder="1" applyFont="1">
      <alignment readingOrder="0"/>
    </xf>
    <xf borderId="6" fillId="3" fontId="16" numFmtId="0" xfId="0" applyAlignment="1" applyBorder="1" applyFont="1">
      <alignment horizontal="center" readingOrder="0" vertical="center"/>
    </xf>
    <xf borderId="6" fillId="3" fontId="17" numFmtId="0" xfId="0" applyAlignment="1" applyBorder="1" applyFont="1">
      <alignment horizontal="center" readingOrder="0" vertical="center"/>
    </xf>
    <xf borderId="6" fillId="3" fontId="14" numFmtId="0" xfId="0" applyAlignment="1" applyBorder="1" applyFont="1">
      <alignment readingOrder="0"/>
    </xf>
    <xf borderId="0" fillId="0" fontId="18" numFmtId="49" xfId="0" applyAlignment="1" applyFont="1" applyNumberFormat="1">
      <alignment readingOrder="0"/>
    </xf>
    <xf borderId="11" fillId="6" fontId="19" numFmtId="0" xfId="0" applyAlignment="1" applyBorder="1" applyFont="1">
      <alignment readingOrder="0" shrinkToFit="0" vertical="center" wrapText="1"/>
    </xf>
    <xf borderId="11" fillId="6" fontId="20" numFmtId="0" xfId="0" applyAlignment="1" applyBorder="1" applyFont="1">
      <alignment readingOrder="0" shrinkToFit="0" vertical="center" wrapText="1"/>
    </xf>
    <xf borderId="6" fillId="3" fontId="4" numFmtId="49" xfId="0" applyAlignment="1" applyBorder="1" applyFont="1" applyNumberFormat="1">
      <alignment readingOrder="0"/>
    </xf>
    <xf borderId="11" fillId="6" fontId="21" numFmtId="0" xfId="0" applyAlignment="1" applyBorder="1" applyFont="1">
      <alignment readingOrder="0" shrinkToFit="0" vertical="center" wrapText="1"/>
    </xf>
    <xf borderId="0" fillId="3" fontId="3" numFmtId="0" xfId="0" applyFont="1"/>
    <xf borderId="11" fillId="6" fontId="15" numFmtId="49" xfId="0" applyAlignment="1" applyBorder="1" applyFont="1" applyNumberFormat="1">
      <alignment horizontal="left" readingOrder="0" shrinkToFit="0" vertical="center" wrapText="1"/>
    </xf>
    <xf borderId="6" fillId="3" fontId="3" numFmtId="10" xfId="0" applyAlignment="1" applyBorder="1" applyFont="1" applyNumberFormat="1">
      <alignment readingOrder="0"/>
    </xf>
    <xf borderId="6" fillId="3" fontId="22" numFmtId="0" xfId="0" applyAlignment="1" applyBorder="1" applyFont="1">
      <alignment readingOrder="0"/>
    </xf>
    <xf borderId="12" fillId="7" fontId="1" numFmtId="0" xfId="0" applyAlignment="1" applyBorder="1" applyFill="1" applyFont="1">
      <alignment readingOrder="0"/>
    </xf>
    <xf borderId="12" fillId="7" fontId="2" numFmtId="0" xfId="0" applyAlignment="1" applyBorder="1" applyFont="1">
      <alignment horizontal="center" vertical="center"/>
    </xf>
    <xf borderId="12" fillId="7" fontId="23" numFmtId="0" xfId="0" applyAlignment="1" applyBorder="1" applyFont="1">
      <alignment readingOrder="0" vertical="center"/>
    </xf>
    <xf borderId="12" fillId="7" fontId="4" numFmtId="0" xfId="0" applyBorder="1" applyFont="1"/>
    <xf borderId="12" fillId="7" fontId="24" numFmtId="10" xfId="0" applyAlignment="1" applyBorder="1" applyFont="1" applyNumberFormat="1">
      <alignment readingOrder="0"/>
    </xf>
    <xf borderId="0" fillId="8" fontId="3" numFmtId="0" xfId="0" applyFill="1" applyFont="1"/>
    <xf borderId="2" fillId="3" fontId="1" numFmtId="0" xfId="0" applyAlignment="1" applyBorder="1" applyFont="1">
      <alignment vertical="center"/>
    </xf>
    <xf borderId="4" fillId="3" fontId="25" numFmtId="0" xfId="0" applyAlignment="1" applyBorder="1" applyFont="1">
      <alignment horizontal="center" readingOrder="0" vertical="center"/>
    </xf>
    <xf borderId="2" fillId="3" fontId="26" numFmtId="0" xfId="0" applyAlignment="1" applyBorder="1" applyFont="1">
      <alignment readingOrder="0" shrinkToFit="0" vertical="center" wrapText="1"/>
    </xf>
    <xf borderId="2" fillId="3" fontId="4" numFmtId="0" xfId="0" applyAlignment="1" applyBorder="1" applyFont="1">
      <alignment readingOrder="0" vertical="center"/>
    </xf>
    <xf borderId="2" fillId="3" fontId="3" numFmtId="10" xfId="0" applyAlignment="1" applyBorder="1" applyFont="1" applyNumberFormat="1">
      <alignment vertical="center"/>
    </xf>
    <xf borderId="8" fillId="3" fontId="17" numFmtId="0" xfId="0" applyAlignment="1" applyBorder="1" applyFont="1">
      <alignment horizontal="center" readingOrder="0" vertical="center"/>
    </xf>
    <xf borderId="4" fillId="3" fontId="1" numFmtId="0" xfId="0" applyAlignment="1" applyBorder="1" applyFont="1">
      <alignment vertical="center"/>
    </xf>
    <xf borderId="4" fillId="3" fontId="26" numFmtId="0" xfId="0" applyAlignment="1" applyBorder="1" applyFont="1">
      <alignment readingOrder="0" shrinkToFit="0" vertical="center" wrapText="1"/>
    </xf>
    <xf borderId="4" fillId="3" fontId="4" numFmtId="0" xfId="0" applyAlignment="1" applyBorder="1" applyFont="1">
      <alignment readingOrder="0" vertical="center"/>
    </xf>
    <xf borderId="4" fillId="3" fontId="3" numFmtId="0" xfId="0" applyAlignment="1" applyBorder="1" applyFont="1">
      <alignment vertical="center"/>
    </xf>
    <xf borderId="6" fillId="3" fontId="1" numFmtId="0" xfId="0" applyAlignment="1" applyBorder="1" applyFont="1">
      <alignment vertical="center"/>
    </xf>
    <xf borderId="6" fillId="3" fontId="26" numFmtId="0" xfId="0" applyAlignment="1" applyBorder="1" applyFont="1">
      <alignment readingOrder="0" shrinkToFit="0" vertical="center" wrapText="1"/>
    </xf>
    <xf borderId="6" fillId="3" fontId="4" numFmtId="0" xfId="0" applyAlignment="1" applyBorder="1" applyFont="1">
      <alignment readingOrder="0" vertical="center"/>
    </xf>
    <xf borderId="6" fillId="3" fontId="3" numFmtId="0" xfId="0" applyAlignment="1" applyBorder="1" applyFont="1">
      <alignment horizontal="center" readingOrder="0" shrinkToFit="0" vertical="center" wrapText="1"/>
    </xf>
    <xf borderId="8" fillId="0" fontId="27" numFmtId="0" xfId="0" applyBorder="1" applyFont="1"/>
    <xf borderId="6" fillId="3" fontId="28" numFmtId="0" xfId="0" applyAlignment="1" applyBorder="1" applyFont="1">
      <alignment horizontal="center" readingOrder="0" vertical="center"/>
    </xf>
    <xf borderId="13" fillId="8" fontId="1" numFmtId="0" xfId="0" applyAlignment="1" applyBorder="1" applyFont="1">
      <alignment readingOrder="0"/>
    </xf>
    <xf borderId="13" fillId="8" fontId="2" numFmtId="0" xfId="0" applyAlignment="1" applyBorder="1" applyFont="1">
      <alignment horizontal="center" vertical="center"/>
    </xf>
    <xf borderId="13" fillId="8" fontId="23" numFmtId="0" xfId="0" applyAlignment="1" applyBorder="1" applyFont="1">
      <alignment readingOrder="0" vertical="center"/>
    </xf>
    <xf borderId="13" fillId="8" fontId="4" numFmtId="0" xfId="0" applyBorder="1" applyFont="1"/>
    <xf borderId="13" fillId="8" fontId="24" numFmtId="10" xfId="0" applyAlignment="1" applyBorder="1" applyFont="1" applyNumberFormat="1">
      <alignment readingOrder="0"/>
    </xf>
    <xf borderId="13" fillId="8" fontId="11" numFmtId="0" xfId="0" applyAlignment="1" applyBorder="1" applyFont="1">
      <alignment horizontal="center" readingOrder="0" vertical="center"/>
    </xf>
    <xf borderId="14" fillId="8" fontId="3" numFmtId="0" xfId="0" applyBorder="1" applyFont="1"/>
    <xf borderId="2" fillId="3" fontId="3" numFmtId="0" xfId="0" applyAlignment="1" applyBorder="1" applyFont="1">
      <alignment readingOrder="0"/>
    </xf>
    <xf borderId="2" fillId="3" fontId="3" numFmtId="10" xfId="0" applyAlignment="1" applyBorder="1" applyFont="1" applyNumberFormat="1">
      <alignment readingOrder="0"/>
    </xf>
    <xf borderId="15" fillId="9" fontId="29" numFmtId="0" xfId="0" applyAlignment="1" applyBorder="1" applyFill="1" applyFont="1">
      <alignment vertical="center"/>
    </xf>
    <xf borderId="15" fillId="9" fontId="30" numFmtId="0" xfId="0" applyAlignment="1" applyBorder="1" applyFont="1">
      <alignment horizontal="center" readingOrder="0" vertical="center"/>
    </xf>
    <xf borderId="15" fillId="9" fontId="31" numFmtId="0" xfId="0" applyAlignment="1" applyBorder="1" applyFont="1">
      <alignment readingOrder="0" vertical="center"/>
    </xf>
    <xf borderId="15" fillId="9" fontId="32" numFmtId="0" xfId="0" applyAlignment="1" applyBorder="1" applyFont="1">
      <alignment vertical="center"/>
    </xf>
    <xf borderId="15" fillId="9" fontId="33" numFmtId="0" xfId="0" applyAlignment="1" applyBorder="1" applyFont="1">
      <alignment vertical="center"/>
    </xf>
    <xf borderId="15" fillId="9" fontId="34" numFmtId="0" xfId="0" applyAlignment="1" applyBorder="1" applyFont="1">
      <alignment vertical="center"/>
    </xf>
    <xf borderId="15" fillId="9" fontId="34" numFmtId="0" xfId="0" applyAlignment="1" applyBorder="1" applyFont="1">
      <alignment readingOrder="0" vertical="center"/>
    </xf>
    <xf borderId="2" fillId="3" fontId="35" numFmtId="0" xfId="0" applyAlignment="1" applyBorder="1" applyFont="1">
      <alignment readingOrder="0"/>
    </xf>
    <xf borderId="4" fillId="3" fontId="36" numFmtId="0" xfId="0" applyAlignment="1" applyBorder="1" applyFont="1">
      <alignment readingOrder="0" vertical="center"/>
    </xf>
    <xf borderId="4" fillId="3" fontId="3" numFmtId="10" xfId="0" applyAlignment="1" applyBorder="1" applyFont="1" applyNumberFormat="1">
      <alignment vertical="center"/>
    </xf>
    <xf borderId="6" fillId="3" fontId="36" numFmtId="0" xfId="0" applyAlignment="1" applyBorder="1" applyFont="1">
      <alignment readingOrder="0"/>
    </xf>
    <xf borderId="15" fillId="9" fontId="1" numFmtId="0" xfId="0" applyAlignment="1" applyBorder="1" applyFont="1">
      <alignment vertical="center"/>
    </xf>
    <xf borderId="15" fillId="9" fontId="2" numFmtId="0" xfId="0" applyAlignment="1" applyBorder="1" applyFont="1">
      <alignment horizontal="center" readingOrder="0" vertical="center"/>
    </xf>
    <xf borderId="15" fillId="9" fontId="37" numFmtId="0" xfId="0" applyAlignment="1" applyBorder="1" applyFont="1">
      <alignment readingOrder="0" vertical="center"/>
    </xf>
    <xf borderId="15" fillId="9" fontId="4" numFmtId="0" xfId="0" applyAlignment="1" applyBorder="1" applyFont="1">
      <alignment vertical="center"/>
    </xf>
    <xf borderId="15" fillId="9" fontId="38" numFmtId="0" xfId="0" applyAlignment="1" applyBorder="1" applyFont="1">
      <alignment vertical="center"/>
    </xf>
    <xf borderId="15" fillId="9" fontId="3" numFmtId="0" xfId="0" applyAlignment="1" applyBorder="1" applyFont="1">
      <alignment vertical="center"/>
    </xf>
    <xf borderId="2" fillId="3" fontId="36" numFmtId="0" xfId="0" applyAlignment="1" applyBorder="1" applyFont="1">
      <alignment readingOrder="0"/>
    </xf>
    <xf borderId="2" fillId="3" fontId="36" numFmtId="0" xfId="0" applyAlignment="1" applyBorder="1" applyFont="1">
      <alignment readingOrder="0" vertical="center"/>
    </xf>
    <xf borderId="4" fillId="3" fontId="39" numFmtId="0" xfId="0" applyAlignment="1" applyBorder="1" applyFont="1">
      <alignment readingOrder="0" vertical="center"/>
    </xf>
    <xf borderId="6" fillId="3" fontId="36" numFmtId="0" xfId="0" applyBorder="1" applyFont="1"/>
    <xf borderId="4" fillId="3" fontId="4" numFmtId="0" xfId="0" applyAlignment="1" applyBorder="1" applyFont="1">
      <alignment vertical="center"/>
    </xf>
    <xf borderId="15" fillId="9" fontId="12" numFmtId="0" xfId="0" applyAlignment="1" applyBorder="1" applyFont="1">
      <alignment readingOrder="0" vertical="center"/>
    </xf>
    <xf borderId="15" fillId="9" fontId="40" numFmtId="0" xfId="0" applyAlignment="1" applyBorder="1" applyFont="1">
      <alignment readingOrder="0" vertical="center"/>
    </xf>
    <xf borderId="16" fillId="10" fontId="1" numFmtId="0" xfId="0" applyBorder="1" applyFill="1" applyFont="1"/>
    <xf borderId="16" fillId="10" fontId="2" numFmtId="0" xfId="0" applyAlignment="1" applyBorder="1" applyFont="1">
      <alignment horizontal="center" vertical="center"/>
    </xf>
    <xf borderId="16" fillId="10" fontId="8" numFmtId="0" xfId="0" applyAlignment="1" applyBorder="1" applyFont="1">
      <alignment readingOrder="0" vertical="center"/>
    </xf>
    <xf borderId="16" fillId="10" fontId="4" numFmtId="0" xfId="0" applyBorder="1" applyFont="1"/>
    <xf borderId="16" fillId="10" fontId="41" numFmtId="0" xfId="0" applyBorder="1" applyFont="1"/>
    <xf borderId="16" fillId="10" fontId="11" numFmtId="0" xfId="0" applyAlignment="1" applyBorder="1" applyFont="1">
      <alignment horizontal="center" vertical="center"/>
    </xf>
    <xf borderId="16" fillId="10" fontId="3" numFmtId="0" xfId="0" applyBorder="1" applyFont="1"/>
    <xf borderId="17" fillId="11" fontId="1" numFmtId="0" xfId="0" applyAlignment="1" applyBorder="1" applyFill="1" applyFont="1">
      <alignment vertical="center"/>
    </xf>
    <xf borderId="17" fillId="11" fontId="3" numFmtId="0" xfId="0" applyAlignment="1" applyBorder="1" applyFont="1">
      <alignment vertical="center"/>
    </xf>
    <xf borderId="17" fillId="11" fontId="31" numFmtId="0" xfId="0" applyAlignment="1" applyBorder="1" applyFont="1">
      <alignment readingOrder="0" vertical="center"/>
    </xf>
    <xf borderId="17" fillId="11" fontId="4" numFmtId="0" xfId="0" applyAlignment="1" applyBorder="1" applyFont="1">
      <alignment vertical="center"/>
    </xf>
    <xf borderId="17" fillId="11" fontId="42" numFmtId="0" xfId="0" applyAlignment="1" applyBorder="1" applyFont="1">
      <alignment vertical="center"/>
    </xf>
    <xf borderId="2" fillId="3" fontId="39" numFmtId="0" xfId="0" applyAlignment="1" applyBorder="1" applyFont="1">
      <alignment readingOrder="0" vertical="center"/>
    </xf>
    <xf borderId="4" fillId="3" fontId="1" numFmtId="0" xfId="0" applyAlignment="1" applyBorder="1" applyFont="1">
      <alignment readingOrder="0" vertical="center"/>
    </xf>
    <xf borderId="4" fillId="3" fontId="3" numFmtId="0" xfId="0" applyAlignment="1" applyBorder="1" applyFont="1">
      <alignment readingOrder="0" vertical="center"/>
    </xf>
    <xf borderId="17" fillId="11" fontId="43" numFmtId="0" xfId="0" applyAlignment="1" applyBorder="1" applyFont="1">
      <alignment horizontal="center" vertical="center"/>
    </xf>
    <xf borderId="17" fillId="11" fontId="2" numFmtId="0" xfId="0" applyAlignment="1" applyBorder="1" applyFont="1">
      <alignment horizontal="center" vertical="center"/>
    </xf>
    <xf borderId="17" fillId="11" fontId="4" numFmtId="0" xfId="0" applyBorder="1" applyFont="1"/>
    <xf borderId="17" fillId="11" fontId="42" numFmtId="0" xfId="0" applyBorder="1" applyFont="1"/>
    <xf borderId="17" fillId="11" fontId="3" numFmtId="0" xfId="0" applyBorder="1" applyFont="1"/>
    <xf borderId="2" fillId="3" fontId="1" numFmtId="0" xfId="0" applyAlignment="1" applyBorder="1" applyFont="1">
      <alignment readingOrder="0" vertical="center"/>
    </xf>
    <xf borderId="2" fillId="3" fontId="4" numFmtId="0" xfId="0" applyAlignment="1" applyBorder="1" applyFont="1">
      <alignment vertical="center"/>
    </xf>
    <xf borderId="17" fillId="11" fontId="2" numFmtId="0" xfId="0" applyAlignment="1" applyBorder="1" applyFont="1">
      <alignment horizontal="center" readingOrder="0" vertical="center"/>
    </xf>
    <xf borderId="18" fillId="12" fontId="1" numFmtId="0" xfId="0" applyBorder="1" applyFill="1" applyFont="1"/>
    <xf borderId="18" fillId="12" fontId="2" numFmtId="0" xfId="0" applyAlignment="1" applyBorder="1" applyFont="1">
      <alignment horizontal="center" vertical="center"/>
    </xf>
    <xf borderId="18" fillId="12" fontId="8" numFmtId="0" xfId="0" applyAlignment="1" applyBorder="1" applyFont="1">
      <alignment readingOrder="0" vertical="center"/>
    </xf>
    <xf borderId="18" fillId="12" fontId="4" numFmtId="0" xfId="0" applyBorder="1" applyFont="1"/>
    <xf borderId="18" fillId="12" fontId="44" numFmtId="0" xfId="0" applyBorder="1" applyFont="1"/>
    <xf borderId="18" fillId="12" fontId="11" numFmtId="0" xfId="0" applyAlignment="1" applyBorder="1" applyFont="1">
      <alignment horizontal="center" vertical="center"/>
    </xf>
    <xf borderId="18" fillId="12" fontId="3" numFmtId="0" xfId="0" applyBorder="1" applyFont="1"/>
    <xf borderId="19" fillId="13" fontId="45" numFmtId="0" xfId="0" applyAlignment="1" applyBorder="1" applyFill="1" applyFont="1">
      <alignment readingOrder="0" vertical="center"/>
    </xf>
    <xf borderId="19" fillId="13" fontId="2" numFmtId="0" xfId="0" applyAlignment="1" applyBorder="1" applyFont="1">
      <alignment horizontal="center" readingOrder="0" vertical="center"/>
    </xf>
    <xf borderId="19" fillId="13" fontId="12" numFmtId="0" xfId="0" applyAlignment="1" applyBorder="1" applyFont="1">
      <alignment readingOrder="0" vertical="center"/>
    </xf>
    <xf borderId="19" fillId="13" fontId="4" numFmtId="0" xfId="0" applyAlignment="1" applyBorder="1" applyFont="1">
      <alignment vertical="center"/>
    </xf>
    <xf borderId="19" fillId="13" fontId="46" numFmtId="0" xfId="0" applyAlignment="1" applyBorder="1" applyFont="1">
      <alignment vertical="center"/>
    </xf>
    <xf borderId="19" fillId="13" fontId="3" numFmtId="0" xfId="0" applyAlignment="1" applyBorder="1" applyFont="1">
      <alignment vertical="center"/>
    </xf>
    <xf borderId="6" fillId="3" fontId="1" numFmtId="0" xfId="0" applyAlignment="1" applyBorder="1" applyFont="1">
      <alignment readingOrder="0"/>
    </xf>
    <xf borderId="6" fillId="3" fontId="3" numFmtId="0" xfId="0" applyAlignment="1" applyBorder="1" applyFont="1">
      <alignment readingOrder="0" vertical="center"/>
    </xf>
    <xf borderId="4" fillId="3" fontId="47" numFmtId="0" xfId="0" applyAlignment="1" applyBorder="1" applyFont="1">
      <alignment readingOrder="0" shrinkToFit="0" vertical="center" wrapText="1"/>
    </xf>
    <xf borderId="4" fillId="3" fontId="17" numFmtId="0" xfId="0" applyAlignment="1" applyBorder="1" applyFont="1">
      <alignment horizontal="center" readingOrder="0" vertical="center"/>
    </xf>
    <xf borderId="19" fillId="13" fontId="1" numFmtId="0" xfId="0" applyAlignment="1" applyBorder="1" applyFont="1">
      <alignment vertical="center"/>
    </xf>
    <xf borderId="19" fillId="13" fontId="37" numFmtId="0" xfId="0" applyAlignment="1" applyBorder="1" applyFont="1">
      <alignment readingOrder="0" vertical="center"/>
    </xf>
    <xf borderId="19" fillId="13" fontId="46" numFmtId="0" xfId="0" applyAlignment="1" applyBorder="1" applyFont="1">
      <alignment readingOrder="0" vertical="center"/>
    </xf>
    <xf borderId="4" fillId="3" fontId="1" numFmtId="0" xfId="0" applyAlignment="1" applyBorder="1" applyFont="1">
      <alignment vertical="center"/>
    </xf>
    <xf borderId="20" fillId="14" fontId="48" numFmtId="0" xfId="0" applyAlignment="1" applyBorder="1" applyFill="1" applyFont="1">
      <alignment readingOrder="0" shrinkToFit="0" vertical="center" wrapText="1"/>
    </xf>
    <xf borderId="21" fillId="14" fontId="49" numFmtId="0" xfId="0" applyAlignment="1" applyBorder="1" applyFont="1">
      <alignment readingOrder="0" vertical="center"/>
    </xf>
    <xf borderId="4" fillId="3" fontId="47" numFmtId="0" xfId="0" applyAlignment="1" applyBorder="1" applyFont="1">
      <alignment readingOrder="0" vertical="center"/>
    </xf>
    <xf borderId="4" fillId="3" fontId="50" numFmtId="0" xfId="0" applyAlignment="1" applyBorder="1" applyFont="1">
      <alignment readingOrder="0" vertical="center"/>
    </xf>
    <xf borderId="8" fillId="3" fontId="1" numFmtId="0" xfId="0" applyAlignment="1" applyBorder="1" applyFont="1">
      <alignment vertical="center"/>
    </xf>
    <xf borderId="8" fillId="3" fontId="3" numFmtId="0" xfId="0" applyAlignment="1" applyBorder="1" applyFont="1">
      <alignment readingOrder="0" vertical="center"/>
    </xf>
    <xf borderId="8" fillId="3" fontId="4" numFmtId="0" xfId="0" applyAlignment="1" applyBorder="1" applyFont="1">
      <alignment vertical="center"/>
    </xf>
    <xf borderId="8" fillId="3" fontId="3" numFmtId="0" xfId="0" applyAlignment="1" applyBorder="1" applyFont="1">
      <alignment vertical="center"/>
    </xf>
    <xf borderId="4" fillId="3" fontId="2" numFmtId="0" xfId="0" applyAlignment="1" applyBorder="1" applyFont="1">
      <alignment horizontal="center" readingOrder="0" vertical="center"/>
    </xf>
    <xf borderId="22" fillId="15" fontId="1" numFmtId="0" xfId="0" applyBorder="1" applyFill="1" applyFont="1"/>
    <xf borderId="22" fillId="15" fontId="2" numFmtId="0" xfId="0" applyAlignment="1" applyBorder="1" applyFont="1">
      <alignment horizontal="center" vertical="center"/>
    </xf>
    <xf borderId="22" fillId="15" fontId="8" numFmtId="0" xfId="0" applyAlignment="1" applyBorder="1" applyFont="1">
      <alignment readingOrder="0" vertical="center"/>
    </xf>
    <xf borderId="22" fillId="15" fontId="4" numFmtId="0" xfId="0" applyBorder="1" applyFont="1"/>
    <xf borderId="22" fillId="15" fontId="51" numFmtId="0" xfId="0" applyBorder="1" applyFont="1"/>
    <xf borderId="22" fillId="15" fontId="11" numFmtId="0" xfId="0" applyAlignment="1" applyBorder="1" applyFont="1">
      <alignment horizontal="center" vertical="center"/>
    </xf>
    <xf borderId="22" fillId="15" fontId="3" numFmtId="0" xfId="0" applyBorder="1" applyFont="1"/>
    <xf borderId="23" fillId="14" fontId="1" numFmtId="0" xfId="0" applyBorder="1" applyFont="1"/>
    <xf borderId="23" fillId="14" fontId="2" numFmtId="0" xfId="0" applyAlignment="1" applyBorder="1" applyFont="1">
      <alignment horizontal="center" readingOrder="0" vertical="center"/>
    </xf>
    <xf borderId="23" fillId="14" fontId="52" numFmtId="0" xfId="0" applyAlignment="1" applyBorder="1" applyFont="1">
      <alignment readingOrder="0" shrinkToFit="0" wrapText="1"/>
    </xf>
    <xf borderId="23" fillId="14" fontId="4" numFmtId="0" xfId="0" applyBorder="1" applyFont="1"/>
    <xf borderId="23" fillId="14" fontId="53" numFmtId="0" xfId="0" applyBorder="1" applyFont="1"/>
    <xf borderId="23" fillId="14" fontId="3" numFmtId="0" xfId="0" applyBorder="1" applyFont="1"/>
    <xf borderId="4" fillId="3" fontId="1" numFmtId="0" xfId="0" applyAlignment="1" applyBorder="1" applyFont="1">
      <alignment readingOrder="0"/>
    </xf>
    <xf borderId="4" fillId="3" fontId="3" numFmtId="0" xfId="0" applyAlignment="1" applyBorder="1" applyFont="1">
      <alignment readingOrder="0" shrinkToFit="0" wrapText="1"/>
    </xf>
    <xf borderId="4" fillId="3" fontId="3" numFmtId="0" xfId="0" applyAlignment="1" applyBorder="1" applyFont="1">
      <alignment shrinkToFit="0" wrapText="1"/>
    </xf>
    <xf borderId="4" fillId="3" fontId="39" numFmtId="0" xfId="0" applyBorder="1" applyFont="1"/>
    <xf borderId="4" fillId="3" fontId="39" numFmtId="0" xfId="0" applyAlignment="1" applyBorder="1" applyFont="1">
      <alignment readingOrder="0"/>
    </xf>
    <xf borderId="15" fillId="9" fontId="54" numFmtId="0" xfId="0" applyAlignment="1" applyBorder="1" applyFont="1">
      <alignment vertical="center"/>
    </xf>
    <xf borderId="24" fillId="9" fontId="54" numFmtId="0" xfId="0" applyAlignment="1" applyBorder="1" applyFont="1">
      <alignment vertical="center"/>
    </xf>
    <xf borderId="24" fillId="9" fontId="55" numFmtId="0" xfId="0" applyAlignment="1" applyBorder="1" applyFont="1">
      <alignment readingOrder="0" shrinkToFit="0" vertical="center" wrapText="1"/>
    </xf>
    <xf borderId="15" fillId="9" fontId="11" numFmtId="0" xfId="0" applyAlignment="1" applyBorder="1" applyFont="1">
      <alignment horizontal="center" vertical="center"/>
    </xf>
    <xf borderId="5" fillId="3" fontId="54" numFmtId="0" xfId="0" applyAlignment="1" applyBorder="1" applyFont="1">
      <alignment vertical="center"/>
    </xf>
    <xf borderId="1" fillId="2" fontId="56" numFmtId="0" xfId="0" applyAlignment="1" applyBorder="1" applyFont="1">
      <alignment readingOrder="0" vertical="center"/>
    </xf>
    <xf borderId="1" fillId="2" fontId="57" numFmtId="0" xfId="0" applyAlignment="1" applyBorder="1" applyFont="1">
      <alignment horizontal="righ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 Id="rId3" Type="http://schemas.openxmlformats.org/officeDocument/2006/relationships/image" Target="../media/image5.jpg"/><Relationship Id="rId4" Type="http://schemas.openxmlformats.org/officeDocument/2006/relationships/image" Target="../media/image4.png"/><Relationship Id="rId5"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66675</xdr:rowOff>
    </xdr:from>
    <xdr:ext cx="752475" cy="1905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xdr:row>
      <xdr:rowOff>0</xdr:rowOff>
    </xdr:from>
    <xdr:ext cx="190500" cy="1905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120</xdr:row>
      <xdr:rowOff>0</xdr:rowOff>
    </xdr:from>
    <xdr:ext cx="428625" cy="428625"/>
    <xdr:pic>
      <xdr:nvPicPr>
        <xdr:cNvPr id="0" name="image5.jp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138</xdr:row>
      <xdr:rowOff>0</xdr:rowOff>
    </xdr:from>
    <xdr:ext cx="428625" cy="428625"/>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151</xdr:row>
      <xdr:rowOff>0</xdr:rowOff>
    </xdr:from>
    <xdr:ext cx="428625" cy="428625"/>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br.business.gov.au/ABN/View?abn=89668548785" TargetMode="External"/><Relationship Id="rId2" Type="http://schemas.openxmlformats.org/officeDocument/2006/relationships/hyperlink" Target="http://monitrax.com.au/" TargetMode="External"/><Relationship Id="rId3" Type="http://schemas.openxmlformats.org/officeDocument/2006/relationships/hyperlink" Target="https://basiq.io/" TargetMode="External"/><Relationship Id="rId4" Type="http://schemas.openxmlformats.org/officeDocument/2006/relationships/hyperlink" Target="https://docs.basiq.io/en/articles/10390474-consent-management-policy-template" TargetMode="External"/><Relationship Id="rId5" Type="http://schemas.openxmlformats.org/officeDocument/2006/relationships/hyperlink" Target="https://docs.google.com/document/u/0/d/1BforK4klM_RtNZ2-jSjuazC48tlJGiSlXRgbWQr1VfI/edit" TargetMode="External"/><Relationship Id="rId6"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5DC"/>
    <outlinePr summaryBelow="0" summaryRight="0"/>
  </sheetPr>
  <sheetViews>
    <sheetView workbookViewId="0">
      <pane ySplit="5.0" topLeftCell="A6" activePane="bottomLeft" state="frozen"/>
      <selection activeCell="B7" sqref="B7" pane="bottomLeft"/>
    </sheetView>
  </sheetViews>
  <sheetFormatPr customHeight="1" defaultColWidth="11.22" defaultRowHeight="15.0" outlineLevelRow="2"/>
  <cols>
    <col customWidth="1" min="1" max="1" width="14.33"/>
    <col customWidth="1" min="2" max="2" width="5.78"/>
    <col customWidth="1" min="3" max="3" width="65.78"/>
    <col customWidth="1" min="6" max="6" width="6.67"/>
    <col hidden="1" min="7" max="7" width="11.22"/>
  </cols>
  <sheetData>
    <row r="1" ht="26.25" customHeight="1">
      <c r="A1" s="1" t="s">
        <v>0</v>
      </c>
      <c r="B1" s="2"/>
      <c r="C1" s="3"/>
      <c r="D1" s="4"/>
      <c r="E1" s="5"/>
      <c r="F1" s="6"/>
      <c r="G1" s="5"/>
    </row>
    <row r="2">
      <c r="A2" s="7"/>
      <c r="B2" s="8"/>
      <c r="C2" s="9"/>
      <c r="D2" s="10"/>
      <c r="E2" s="9"/>
      <c r="F2" s="9"/>
      <c r="G2" s="9"/>
    </row>
    <row r="3">
      <c r="A3" s="11"/>
      <c r="B3" s="12"/>
      <c r="C3" s="13" t="s">
        <v>1</v>
      </c>
      <c r="D3" s="14">
        <f>(sum(E7,E57,E119,E174,E247)/500)*100</f>
        <v>0.004081632653</v>
      </c>
      <c r="E3" s="15" t="str">
        <f>IF(AND(D3&gt;=0,    D3&lt;0.1), CHAR(128553), 
 IF(AND(D3&gt;=0.1,  D3&lt;0.2), CHAR(128543), 
 IF(AND(D3&gt;=0.2, D3&lt;0.3), CHAR(128530),
 IF(AND(D3&gt;=0.3, D3&lt;0.4), CHAR(128527), 
 IF(AND(D3&gt;=0.4, D3&lt;0.5), CHAR(128522), 
 IF(AND(D3&gt;=0.5, D3&lt;0.6), CHAR(129325), 
 IF(AND(D3&gt;=0.6, D3&lt;0.7), CHAR(128517), 
 IF(AND(D3&gt;=0.7, D3&lt;0.8), CHAR(128518), 
 IF(AND(D3&gt;=0.8, D3&lt;0.9), CHAR(128526), CHAR(129395))))))))))</f>
        <v>😩</v>
      </c>
      <c r="F3" s="16"/>
      <c r="G3" s="17"/>
    </row>
    <row r="4" ht="3.0" customHeight="1">
      <c r="A4" s="18"/>
      <c r="B4" s="19"/>
      <c r="C4" s="20" t="str">
        <f>IFERROR(__xludf.DUMMYFUNCTION("SPARKLINE(((sum(E7,E57,E119,E174,E247)/500)*100),{""charttype"",""bar"";""max"",1;""min"",0;""color1"",""#56C5B0""})"),"")</f>
        <v/>
      </c>
      <c r="D4" s="21"/>
      <c r="E4" s="20"/>
      <c r="F4" s="20"/>
      <c r="G4" s="22" t="s">
        <v>2</v>
      </c>
    </row>
    <row r="5">
      <c r="A5" s="23"/>
      <c r="B5" s="24"/>
      <c r="C5" s="20"/>
      <c r="D5" s="25"/>
      <c r="E5" s="20"/>
      <c r="F5" s="20"/>
      <c r="G5" s="20"/>
    </row>
    <row r="6">
      <c r="A6" s="26"/>
      <c r="B6" s="27"/>
      <c r="C6" s="28"/>
      <c r="D6" s="29"/>
      <c r="E6" s="30"/>
      <c r="F6" s="30"/>
      <c r="G6" s="30"/>
    </row>
    <row r="7" ht="33.75" customHeight="1">
      <c r="A7" s="31"/>
      <c r="B7" s="32"/>
      <c r="C7" s="33" t="s">
        <v>3</v>
      </c>
      <c r="D7" s="34"/>
      <c r="E7" s="35">
        <f>(sum(E9,E30)/200)*100</f>
        <v>0</v>
      </c>
      <c r="F7" s="36" t="str">
        <f>hyperlink(IF(unicode(F282) = 128104, "https://drive.google.com/file/d/1lJrl9eK-_IFeiTlhozH_5dDxKvKNW52l/preview",IF(unicode(F282) = 127482, "https://drive.google.com/file/d/1r29T67a0_a4vaveDGy-jkt84hnGzF5X7/preview",IF(unicode(F282) = 127468, "https://drive.google.com/file/d/1DCnjrv-s5aoy-UqVFvuWPeQ4r69sDAgo/preview",""))),"Play ▸")</f>
        <v>Play ▸</v>
      </c>
      <c r="G7" s="37"/>
    </row>
    <row r="8" outlineLevel="1">
      <c r="A8" s="38"/>
      <c r="B8" s="39"/>
      <c r="C8" s="40"/>
      <c r="D8" s="41"/>
      <c r="E8" s="42"/>
      <c r="F8" s="42"/>
      <c r="G8" s="42"/>
    </row>
    <row r="9" ht="33.75" customHeight="1" outlineLevel="1">
      <c r="A9" s="43"/>
      <c r="B9" s="44" t="s">
        <v>4</v>
      </c>
      <c r="C9" s="45" t="s">
        <v>5</v>
      </c>
      <c r="D9" s="46"/>
      <c r="E9" s="47">
        <f t="array" ref="E9">COUNTIF({F12,F15,F18,F21,F24,F27},"✓")/COUNTA({F12,F15,F18,F21,F24,F27})</f>
        <v>0</v>
      </c>
      <c r="F9" s="48"/>
      <c r="G9" s="48"/>
    </row>
    <row r="10" outlineLevel="2">
      <c r="A10" s="38"/>
      <c r="B10" s="39"/>
      <c r="C10" s="42"/>
      <c r="D10" s="41"/>
      <c r="E10" s="42"/>
      <c r="F10" s="42"/>
      <c r="G10" s="42"/>
    </row>
    <row r="11" outlineLevel="2">
      <c r="A11" s="49"/>
      <c r="B11" s="27"/>
      <c r="C11" s="50" t="s">
        <v>6</v>
      </c>
      <c r="D11" s="51"/>
      <c r="E11" s="52"/>
      <c r="F11" s="52"/>
      <c r="G11" s="52"/>
    </row>
    <row r="12" ht="22.5" customHeight="1" outlineLevel="2">
      <c r="A12" s="26"/>
      <c r="B12" s="53"/>
      <c r="C12" s="54" t="s">
        <v>7</v>
      </c>
      <c r="D12" s="55" t="b">
        <v>0</v>
      </c>
      <c r="E12" s="56" t="str">
        <f>HYPERLINK("https://abr.business.gov.au/Search/ResultsActive?SearchText="&amp;C12,"Search")</f>
        <v>Search</v>
      </c>
      <c r="F12" s="57" t="str">
        <f>if(C12&lt;&gt;"", if(D12=true,"✓",""),"")</f>
        <v/>
      </c>
      <c r="G12" s="30"/>
    </row>
    <row r="13" outlineLevel="2">
      <c r="A13" s="26"/>
      <c r="B13" s="27"/>
      <c r="C13" s="42"/>
      <c r="D13" s="29"/>
      <c r="E13" s="30"/>
      <c r="F13" s="30"/>
      <c r="G13" s="30"/>
    </row>
    <row r="14" outlineLevel="2">
      <c r="A14" s="26"/>
      <c r="B14" s="27"/>
      <c r="C14" s="58" t="s">
        <v>8</v>
      </c>
      <c r="D14" s="29"/>
      <c r="E14" s="30"/>
      <c r="F14" s="30"/>
      <c r="G14" s="30"/>
    </row>
    <row r="15" ht="22.5" customHeight="1" outlineLevel="2">
      <c r="A15" s="26"/>
      <c r="B15" s="27"/>
      <c r="C15" s="59" t="s">
        <v>9</v>
      </c>
      <c r="D15" s="55" t="b">
        <v>0</v>
      </c>
      <c r="E15" s="56" t="str">
        <f>HYPERLINK("https://abr.business.gov.au/ABN/View?abn="&amp;C15,"Verify")</f>
        <v>Verify</v>
      </c>
      <c r="F15" s="57" t="str">
        <f>if(isblank(C15)=false, if(D15=true,"✓",""),"")</f>
        <v/>
      </c>
      <c r="G15" s="30"/>
    </row>
    <row r="16" outlineLevel="2">
      <c r="A16" s="26"/>
      <c r="B16" s="27"/>
      <c r="C16" s="30"/>
      <c r="D16" s="29"/>
      <c r="E16" s="30"/>
      <c r="F16" s="30"/>
      <c r="G16" s="30"/>
    </row>
    <row r="17" outlineLevel="2">
      <c r="A17" s="26"/>
      <c r="B17" s="27"/>
      <c r="C17" s="58" t="s">
        <v>10</v>
      </c>
      <c r="D17" s="29"/>
      <c r="E17" s="30"/>
      <c r="F17" s="30"/>
      <c r="G17" s="30"/>
    </row>
    <row r="18" ht="22.5" customHeight="1" outlineLevel="2">
      <c r="A18" s="26"/>
      <c r="B18" s="27"/>
      <c r="C18" s="60" t="s">
        <v>11</v>
      </c>
      <c r="D18" s="55" t="b">
        <v>0</v>
      </c>
      <c r="E18" s="30"/>
      <c r="F18" s="57" t="str">
        <f>IFERROR(__xludf.DUMMYFUNCTION("if(isurl(C18)=true, if(D18=true,""✓"",""""),"""")"),"")</f>
        <v/>
      </c>
      <c r="G18" s="30"/>
    </row>
    <row r="19" outlineLevel="2">
      <c r="A19" s="26"/>
      <c r="B19" s="27"/>
      <c r="C19" s="30"/>
      <c r="D19" s="29"/>
      <c r="E19" s="30"/>
      <c r="F19" s="30"/>
      <c r="G19" s="30"/>
    </row>
    <row r="20" outlineLevel="2">
      <c r="A20" s="26"/>
      <c r="B20" s="27"/>
      <c r="C20" s="58" t="s">
        <v>12</v>
      </c>
      <c r="D20" s="29"/>
      <c r="E20" s="30"/>
      <c r="F20" s="30"/>
      <c r="G20" s="30"/>
    </row>
    <row r="21" ht="48.75" customHeight="1" outlineLevel="2">
      <c r="A21" s="26"/>
      <c r="B21" s="27"/>
      <c r="C21" s="61" t="s">
        <v>13</v>
      </c>
      <c r="D21" s="55" t="b">
        <v>0</v>
      </c>
      <c r="E21" s="30"/>
      <c r="F21" s="57" t="str">
        <f>if(C21&lt;&gt;"", if(D21=true,"✓",""),"")</f>
        <v/>
      </c>
      <c r="G21" s="30"/>
    </row>
    <row r="22" outlineLevel="2">
      <c r="A22" s="26"/>
      <c r="B22" s="27"/>
      <c r="C22" s="30"/>
      <c r="D22" s="29"/>
      <c r="E22" s="30"/>
      <c r="F22" s="30"/>
      <c r="G22" s="30"/>
    </row>
    <row r="23" outlineLevel="2">
      <c r="A23" s="26"/>
      <c r="B23" s="27"/>
      <c r="C23" s="58" t="s">
        <v>14</v>
      </c>
      <c r="D23" s="29"/>
      <c r="E23" s="30"/>
      <c r="F23" s="30"/>
      <c r="G23" s="30"/>
    </row>
    <row r="24" ht="48.75" customHeight="1" outlineLevel="2">
      <c r="A24" s="26"/>
      <c r="B24" s="27"/>
      <c r="C24" s="61" t="s">
        <v>15</v>
      </c>
      <c r="D24" s="55" t="b">
        <v>0</v>
      </c>
      <c r="E24" s="30"/>
      <c r="F24" s="57" t="str">
        <f>if(C24&lt;&gt;"", if(D24=true,"✓",""),"")</f>
        <v/>
      </c>
      <c r="G24" s="30"/>
    </row>
    <row r="25" outlineLevel="2">
      <c r="A25" s="26"/>
      <c r="B25" s="27"/>
      <c r="C25" s="30"/>
      <c r="D25" s="29"/>
      <c r="E25" s="30"/>
      <c r="F25" s="30"/>
      <c r="G25" s="30"/>
    </row>
    <row r="26" outlineLevel="2">
      <c r="A26" s="26"/>
      <c r="B26" s="27"/>
      <c r="C26" s="58" t="s">
        <v>16</v>
      </c>
      <c r="D26" s="62"/>
      <c r="E26" s="30"/>
      <c r="F26" s="30"/>
      <c r="G26" s="30"/>
    </row>
    <row r="27" ht="22.5" customHeight="1" outlineLevel="2">
      <c r="A27" s="26"/>
      <c r="B27" s="27"/>
      <c r="C27" s="63" t="s">
        <v>17</v>
      </c>
      <c r="D27" s="55" t="b">
        <v>0</v>
      </c>
      <c r="E27" s="30"/>
      <c r="F27" s="57" t="str">
        <f>IFERROR(__xludf.DUMMYFUNCTION("if(isurl(C27)=true, if(D27=true,""✓"",""""),"""")"),"")</f>
        <v/>
      </c>
      <c r="G27" s="30"/>
    </row>
    <row r="28" outlineLevel="2">
      <c r="A28" s="26"/>
      <c r="B28" s="27"/>
      <c r="C28" s="64"/>
      <c r="D28" s="29"/>
      <c r="E28" s="30"/>
      <c r="F28" s="30"/>
      <c r="G28" s="30"/>
    </row>
    <row r="29" outlineLevel="1">
      <c r="A29" s="23"/>
      <c r="B29" s="24"/>
      <c r="C29" s="20"/>
      <c r="D29" s="25"/>
      <c r="E29" s="20"/>
      <c r="F29" s="20"/>
      <c r="G29" s="20"/>
    </row>
    <row r="30" ht="33.75" customHeight="1" outlineLevel="1">
      <c r="A30" s="43"/>
      <c r="B30" s="44" t="s">
        <v>18</v>
      </c>
      <c r="C30" s="45" t="s">
        <v>19</v>
      </c>
      <c r="D30" s="46"/>
      <c r="E30" s="47">
        <f t="array" ref="E30">COUNTIF({F33,F36,F39,F42,F45,F48},"✓")/COUNTA({F33,F36,F39,F42,F45,F48})</f>
        <v>0</v>
      </c>
      <c r="F30" s="48"/>
      <c r="G30" s="48"/>
    </row>
    <row r="31" outlineLevel="2">
      <c r="A31" s="23"/>
      <c r="B31" s="24"/>
      <c r="C31" s="20"/>
      <c r="D31" s="25"/>
      <c r="E31" s="20"/>
      <c r="F31" s="20"/>
      <c r="G31" s="20"/>
    </row>
    <row r="32" outlineLevel="2">
      <c r="A32" s="23"/>
      <c r="B32" s="24"/>
      <c r="C32" s="22" t="s">
        <v>20</v>
      </c>
      <c r="D32" s="25"/>
      <c r="E32" s="20"/>
      <c r="F32" s="20"/>
      <c r="G32" s="20"/>
    </row>
    <row r="33" ht="22.5" customHeight="1" outlineLevel="2">
      <c r="A33" s="26"/>
      <c r="B33" s="27"/>
      <c r="C33" s="65" t="s">
        <v>21</v>
      </c>
      <c r="D33" s="55" t="b">
        <v>0</v>
      </c>
      <c r="E33" s="30"/>
      <c r="F33" s="57" t="str">
        <f>if(C33&lt;&gt;"", if(D33=true,"✓",""),"")</f>
        <v/>
      </c>
      <c r="G33" s="30"/>
    </row>
    <row r="34" outlineLevel="2">
      <c r="A34" s="23"/>
      <c r="B34" s="24"/>
      <c r="C34" s="20"/>
      <c r="D34" s="25"/>
      <c r="E34" s="20"/>
      <c r="F34" s="20"/>
      <c r="G34" s="20"/>
    </row>
    <row r="35" outlineLevel="2">
      <c r="A35" s="23"/>
      <c r="B35" s="24"/>
      <c r="C35" s="22" t="s">
        <v>22</v>
      </c>
      <c r="D35" s="25"/>
      <c r="E35" s="20"/>
      <c r="F35" s="20"/>
      <c r="G35" s="20"/>
    </row>
    <row r="36" ht="22.5" customHeight="1" outlineLevel="2">
      <c r="A36" s="26"/>
      <c r="B36" s="27"/>
      <c r="C36" s="65" t="s">
        <v>21</v>
      </c>
      <c r="D36" s="55" t="b">
        <v>0</v>
      </c>
      <c r="E36" s="30"/>
      <c r="F36" s="57" t="str">
        <f>if(C36&lt;&gt;"", if(D36=true,"✓",""),"")</f>
        <v/>
      </c>
      <c r="G36" s="30"/>
    </row>
    <row r="37" outlineLevel="2">
      <c r="A37" s="23"/>
      <c r="B37" s="24"/>
      <c r="C37" s="20"/>
      <c r="D37" s="25"/>
      <c r="E37" s="20"/>
      <c r="F37" s="20"/>
      <c r="G37" s="20"/>
    </row>
    <row r="38" outlineLevel="2">
      <c r="A38" s="23"/>
      <c r="B38" s="24"/>
      <c r="C38" s="22" t="s">
        <v>23</v>
      </c>
      <c r="D38" s="25"/>
      <c r="E38" s="20"/>
      <c r="F38" s="20"/>
      <c r="G38" s="20"/>
    </row>
    <row r="39" ht="22.5" customHeight="1" outlineLevel="2">
      <c r="A39" s="26"/>
      <c r="B39" s="27"/>
      <c r="C39" s="65" t="s">
        <v>21</v>
      </c>
      <c r="D39" s="55" t="b">
        <v>0</v>
      </c>
      <c r="E39" s="30"/>
      <c r="F39" s="57" t="str">
        <f>if(C39&lt;&gt;"", if(D39=true,"✓",""),"")</f>
        <v/>
      </c>
      <c r="G39" s="30"/>
    </row>
    <row r="40" outlineLevel="2">
      <c r="A40" s="23"/>
      <c r="B40" s="24"/>
      <c r="C40" s="20"/>
      <c r="D40" s="25"/>
      <c r="E40" s="20"/>
      <c r="F40" s="20"/>
      <c r="G40" s="20"/>
    </row>
    <row r="41" outlineLevel="2">
      <c r="A41" s="23"/>
      <c r="B41" s="24"/>
      <c r="C41" s="22" t="s">
        <v>24</v>
      </c>
      <c r="D41" s="25"/>
      <c r="E41" s="20"/>
      <c r="F41" s="20"/>
      <c r="G41" s="20"/>
    </row>
    <row r="42" ht="22.5" customHeight="1" outlineLevel="2">
      <c r="A42" s="26"/>
      <c r="B42" s="27"/>
      <c r="C42" s="65" t="s">
        <v>25</v>
      </c>
      <c r="D42" s="55" t="b">
        <v>0</v>
      </c>
      <c r="E42" s="30"/>
      <c r="F42" s="57" t="str">
        <f>if(C42&lt;&gt;"", if(D42=true,"✓",""),"")</f>
        <v/>
      </c>
      <c r="G42" s="30"/>
    </row>
    <row r="43" outlineLevel="2">
      <c r="A43" s="26"/>
      <c r="B43" s="27"/>
      <c r="C43" s="20"/>
      <c r="D43" s="29"/>
      <c r="E43" s="30"/>
      <c r="F43" s="30"/>
      <c r="G43" s="30"/>
    </row>
    <row r="44" outlineLevel="2">
      <c r="A44" s="26"/>
      <c r="B44" s="27"/>
      <c r="C44" s="22" t="s">
        <v>26</v>
      </c>
      <c r="D44" s="29"/>
      <c r="E44" s="30"/>
      <c r="F44" s="30"/>
      <c r="G44" s="30"/>
    </row>
    <row r="45" ht="22.5" customHeight="1" outlineLevel="2">
      <c r="A45" s="26"/>
      <c r="B45" s="27"/>
      <c r="C45" s="65" t="s">
        <v>25</v>
      </c>
      <c r="D45" s="55" t="b">
        <v>0</v>
      </c>
      <c r="E45" s="30"/>
      <c r="F45" s="57" t="str">
        <f>if(C45&lt;&gt;"", if(D45=true,"✓",""),"")</f>
        <v/>
      </c>
      <c r="G45" s="30"/>
    </row>
    <row r="46" outlineLevel="2">
      <c r="A46" s="26"/>
      <c r="B46" s="27"/>
      <c r="C46" s="20"/>
      <c r="D46" s="29"/>
      <c r="E46" s="30"/>
      <c r="F46" s="30"/>
      <c r="G46" s="30"/>
    </row>
    <row r="47" outlineLevel="2">
      <c r="A47" s="26"/>
      <c r="B47" s="27"/>
      <c r="C47" s="22" t="s">
        <v>27</v>
      </c>
      <c r="D47" s="29"/>
      <c r="E47" s="30"/>
      <c r="F47" s="30"/>
      <c r="G47" s="30"/>
    </row>
    <row r="48" ht="22.5" customHeight="1" outlineLevel="2">
      <c r="A48" s="26"/>
      <c r="B48" s="27"/>
      <c r="C48" s="65" t="s">
        <v>28</v>
      </c>
      <c r="D48" s="55" t="b">
        <v>0</v>
      </c>
      <c r="E48" s="30"/>
      <c r="F48" s="57" t="str">
        <f>if(C48&lt;&gt;"", if(D48=true,"✓",""),"")</f>
        <v/>
      </c>
      <c r="G48" s="30"/>
    </row>
    <row r="49">
      <c r="A49" s="26"/>
      <c r="B49" s="27"/>
      <c r="C49" s="30"/>
      <c r="D49" s="29"/>
      <c r="E49" s="28"/>
      <c r="F49" s="66"/>
      <c r="G49" s="67"/>
    </row>
    <row r="50" ht="33.75" customHeight="1">
      <c r="A50" s="68"/>
      <c r="B50" s="69"/>
      <c r="C50" s="70" t="s">
        <v>29</v>
      </c>
      <c r="D50" s="71"/>
      <c r="E50" s="72"/>
      <c r="F50" s="72"/>
      <c r="G50" s="73"/>
    </row>
    <row r="51" ht="43.5" customHeight="1">
      <c r="A51" s="74" t="s">
        <v>30</v>
      </c>
      <c r="B51" s="75"/>
      <c r="C51" s="76" t="s">
        <v>31</v>
      </c>
      <c r="D51" s="77" t="b">
        <v>0</v>
      </c>
      <c r="E51" s="78"/>
      <c r="F51" s="79" t="str">
        <f t="shared" ref="F51:F56" si="1">if(C51&lt;&gt;"", if(D51=true,"✓",""),"")</f>
        <v/>
      </c>
      <c r="G51" s="73"/>
    </row>
    <row r="52" ht="37.5" customHeight="1">
      <c r="A52" s="80" t="s">
        <v>32</v>
      </c>
      <c r="B52" s="75"/>
      <c r="C52" s="81" t="s">
        <v>33</v>
      </c>
      <c r="D52" s="82" t="b">
        <v>0</v>
      </c>
      <c r="E52" s="83"/>
      <c r="F52" s="57" t="str">
        <f t="shared" si="1"/>
        <v/>
      </c>
      <c r="G52" s="73"/>
    </row>
    <row r="53" ht="24.0" customHeight="1">
      <c r="A53" s="84" t="s">
        <v>34</v>
      </c>
      <c r="B53" s="75"/>
      <c r="C53" s="85" t="s">
        <v>35</v>
      </c>
      <c r="D53" s="86" t="b">
        <v>0</v>
      </c>
      <c r="E53" s="52"/>
      <c r="F53" s="57" t="str">
        <f t="shared" si="1"/>
        <v/>
      </c>
      <c r="G53" s="73"/>
    </row>
    <row r="54" ht="29.25" customHeight="1">
      <c r="A54" s="84" t="s">
        <v>34</v>
      </c>
      <c r="B54" s="75"/>
      <c r="C54" s="85" t="s">
        <v>36</v>
      </c>
      <c r="D54" s="86" t="b">
        <v>1</v>
      </c>
      <c r="E54" s="87" t="s">
        <v>37</v>
      </c>
      <c r="F54" s="57" t="str">
        <f t="shared" si="1"/>
        <v>✓</v>
      </c>
      <c r="G54" s="73"/>
    </row>
    <row r="55" ht="29.25" customHeight="1">
      <c r="A55" s="84" t="s">
        <v>34</v>
      </c>
      <c r="B55" s="75"/>
      <c r="C55" s="85" t="s">
        <v>38</v>
      </c>
      <c r="D55" s="86" t="b">
        <v>1</v>
      </c>
      <c r="E55" s="88"/>
      <c r="F55" s="57" t="str">
        <f t="shared" si="1"/>
        <v>✓</v>
      </c>
      <c r="G55" s="73"/>
    </row>
    <row r="56" ht="29.25" customHeight="1">
      <c r="A56" s="84" t="s">
        <v>34</v>
      </c>
      <c r="B56" s="75"/>
      <c r="C56" s="85" t="s">
        <v>39</v>
      </c>
      <c r="D56" s="86" t="b">
        <v>1</v>
      </c>
      <c r="E56" s="89" t="s">
        <v>40</v>
      </c>
      <c r="F56" s="57" t="str">
        <f t="shared" si="1"/>
        <v>✓</v>
      </c>
      <c r="G56" s="73"/>
    </row>
    <row r="57" ht="33.75" customHeight="1">
      <c r="A57" s="90"/>
      <c r="B57" s="91"/>
      <c r="C57" s="92" t="s">
        <v>41</v>
      </c>
      <c r="D57" s="93"/>
      <c r="E57" s="94">
        <f>(sum(E59,E69,E79,E87,E93,E104,E112)/700)*100</f>
        <v>0.02040816327</v>
      </c>
      <c r="F57" s="95" t="str">
        <f>hyperlink(IF(unicode(F282) = 128104, "https://drive.google.com/file/d/1jDzIl7rP7ZDcNKVhZL1L69lwV6mtCqym/preview",IF(unicode(F282) = 127482, "https://drive.google.com/file/d/1782AMA_JhI5Gkj6ZvMqlwMRbJqQV79M9/preview",IF(unicode(F282) = 127468, "https://drive.google.com/file/d/13Q3ne_okNGcRuu1bzeshZCu-8Fj5Q9Xg/preview",""))),"Play ▸")</f>
        <v>Play ▸</v>
      </c>
      <c r="G57" s="96"/>
    </row>
    <row r="58" outlineLevel="1">
      <c r="A58" s="7"/>
      <c r="B58" s="8"/>
      <c r="C58" s="9"/>
      <c r="D58" s="10"/>
      <c r="E58" s="97"/>
      <c r="F58" s="98"/>
      <c r="G58" s="9"/>
    </row>
    <row r="59" ht="33.75" customHeight="1" outlineLevel="1">
      <c r="A59" s="99"/>
      <c r="B59" s="100" t="s">
        <v>42</v>
      </c>
      <c r="C59" s="101" t="s">
        <v>43</v>
      </c>
      <c r="D59" s="102"/>
      <c r="E59" s="103">
        <f>COUNTIF(F61:F67,"✓")/COUNTA(F61:F67)</f>
        <v>0.1428571429</v>
      </c>
      <c r="F59" s="104"/>
      <c r="G59" s="105"/>
    </row>
    <row r="60" outlineLevel="1">
      <c r="A60" s="7"/>
      <c r="B60" s="8"/>
      <c r="C60" s="106"/>
      <c r="D60" s="10"/>
      <c r="E60" s="9"/>
      <c r="F60" s="9"/>
      <c r="G60" s="97"/>
    </row>
    <row r="61" ht="17.25" customHeight="1" outlineLevel="1">
      <c r="A61" s="80" t="s">
        <v>30</v>
      </c>
      <c r="B61" s="24"/>
      <c r="C61" s="107" t="s">
        <v>44</v>
      </c>
      <c r="D61" s="82" t="b">
        <v>1</v>
      </c>
      <c r="E61" s="108"/>
      <c r="F61" s="57" t="str">
        <f t="shared" ref="F61:F67" si="2">if(C61&lt;&gt;"", if(D61=true,"✓",""),"")</f>
        <v>✓</v>
      </c>
      <c r="G61" s="107"/>
    </row>
    <row r="62" ht="17.25" customHeight="1" outlineLevel="1">
      <c r="A62" s="80" t="s">
        <v>32</v>
      </c>
      <c r="B62" s="24"/>
      <c r="C62" s="107" t="s">
        <v>45</v>
      </c>
      <c r="D62" s="82" t="b">
        <v>0</v>
      </c>
      <c r="E62" s="83"/>
      <c r="F62" s="57" t="str">
        <f t="shared" si="2"/>
        <v/>
      </c>
      <c r="G62" s="107"/>
    </row>
    <row r="63" ht="17.25" customHeight="1" outlineLevel="1">
      <c r="A63" s="80" t="s">
        <v>34</v>
      </c>
      <c r="B63" s="24"/>
      <c r="C63" s="107" t="s">
        <v>46</v>
      </c>
      <c r="D63" s="82" t="b">
        <v>0</v>
      </c>
      <c r="E63" s="83"/>
      <c r="F63" s="57" t="str">
        <f t="shared" si="2"/>
        <v/>
      </c>
      <c r="G63" s="107"/>
    </row>
    <row r="64" ht="17.25" customHeight="1" outlineLevel="1">
      <c r="A64" s="80" t="s">
        <v>47</v>
      </c>
      <c r="B64" s="24"/>
      <c r="C64" s="107" t="s">
        <v>48</v>
      </c>
      <c r="D64" s="82" t="b">
        <v>0</v>
      </c>
      <c r="E64" s="83"/>
      <c r="F64" s="57" t="str">
        <f t="shared" si="2"/>
        <v/>
      </c>
      <c r="G64" s="107"/>
    </row>
    <row r="65" ht="17.25" customHeight="1" outlineLevel="1">
      <c r="A65" s="80" t="s">
        <v>49</v>
      </c>
      <c r="B65" s="24"/>
      <c r="C65" s="107" t="s">
        <v>50</v>
      </c>
      <c r="D65" s="82" t="b">
        <v>0</v>
      </c>
      <c r="E65" s="83"/>
      <c r="F65" s="57" t="str">
        <f t="shared" si="2"/>
        <v/>
      </c>
      <c r="G65" s="107"/>
    </row>
    <row r="66" ht="17.25" customHeight="1" outlineLevel="1">
      <c r="A66" s="80" t="s">
        <v>51</v>
      </c>
      <c r="B66" s="24"/>
      <c r="C66" s="107" t="s">
        <v>52</v>
      </c>
      <c r="D66" s="82" t="b">
        <v>0</v>
      </c>
      <c r="E66" s="83"/>
      <c r="F66" s="57" t="str">
        <f t="shared" si="2"/>
        <v/>
      </c>
      <c r="G66" s="107"/>
    </row>
    <row r="67" ht="17.25" customHeight="1" outlineLevel="1">
      <c r="A67" s="80" t="s">
        <v>53</v>
      </c>
      <c r="B67" s="24"/>
      <c r="C67" s="107" t="s">
        <v>54</v>
      </c>
      <c r="D67" s="82" t="b">
        <v>0</v>
      </c>
      <c r="E67" s="83"/>
      <c r="F67" s="57" t="str">
        <f t="shared" si="2"/>
        <v/>
      </c>
      <c r="G67" s="107"/>
    </row>
    <row r="68" outlineLevel="1">
      <c r="A68" s="26"/>
      <c r="B68" s="27"/>
      <c r="C68" s="109"/>
      <c r="D68" s="29"/>
      <c r="E68" s="30"/>
      <c r="F68" s="30"/>
      <c r="G68" s="109"/>
    </row>
    <row r="69" ht="33.75" customHeight="1" outlineLevel="1">
      <c r="A69" s="110"/>
      <c r="B69" s="111" t="s">
        <v>55</v>
      </c>
      <c r="C69" s="112" t="s">
        <v>56</v>
      </c>
      <c r="D69" s="113"/>
      <c r="E69" s="114">
        <f>COUNTIF(F71:F77,"✓")/COUNTA(F71:F77)</f>
        <v>0</v>
      </c>
      <c r="F69" s="115"/>
      <c r="G69" s="115"/>
    </row>
    <row r="70" outlineLevel="1">
      <c r="A70" s="7"/>
      <c r="B70" s="8"/>
      <c r="C70" s="116"/>
      <c r="D70" s="10"/>
      <c r="E70" s="9"/>
      <c r="F70" s="9"/>
      <c r="G70" s="116"/>
    </row>
    <row r="71" ht="17.25" customHeight="1" outlineLevel="1">
      <c r="A71" s="74" t="s">
        <v>57</v>
      </c>
      <c r="B71" s="8"/>
      <c r="C71" s="117" t="s">
        <v>58</v>
      </c>
      <c r="D71" s="77" t="b">
        <v>0</v>
      </c>
      <c r="E71" s="17"/>
      <c r="F71" s="57" t="str">
        <f t="shared" ref="F71:F77" si="3">if(C71&lt;&gt;"", if(D71=true,"✓",""),"")</f>
        <v/>
      </c>
      <c r="G71" s="117"/>
    </row>
    <row r="72" ht="17.25" customHeight="1" outlineLevel="1">
      <c r="A72" s="80" t="s">
        <v>59</v>
      </c>
      <c r="B72" s="24"/>
      <c r="C72" s="107" t="s">
        <v>60</v>
      </c>
      <c r="D72" s="82" t="b">
        <v>0</v>
      </c>
      <c r="E72" s="83"/>
      <c r="F72" s="57" t="str">
        <f t="shared" si="3"/>
        <v/>
      </c>
      <c r="G72" s="107"/>
    </row>
    <row r="73" ht="17.25" customHeight="1" outlineLevel="1">
      <c r="A73" s="80" t="s">
        <v>61</v>
      </c>
      <c r="B73" s="24"/>
      <c r="C73" s="107" t="s">
        <v>62</v>
      </c>
      <c r="D73" s="82" t="b">
        <v>0</v>
      </c>
      <c r="E73" s="83"/>
      <c r="F73" s="57" t="str">
        <f t="shared" si="3"/>
        <v/>
      </c>
      <c r="G73" s="107"/>
    </row>
    <row r="74" ht="17.25" customHeight="1" outlineLevel="1">
      <c r="A74" s="80" t="s">
        <v>63</v>
      </c>
      <c r="B74" s="24"/>
      <c r="C74" s="107" t="s">
        <v>64</v>
      </c>
      <c r="D74" s="82" t="b">
        <v>0</v>
      </c>
      <c r="E74" s="83"/>
      <c r="F74" s="57" t="str">
        <f t="shared" si="3"/>
        <v/>
      </c>
      <c r="G74" s="107"/>
    </row>
    <row r="75" ht="17.25" customHeight="1" outlineLevel="1">
      <c r="A75" s="80" t="s">
        <v>65</v>
      </c>
      <c r="B75" s="24"/>
      <c r="C75" s="118" t="s">
        <v>66</v>
      </c>
      <c r="D75" s="82" t="b">
        <v>0</v>
      </c>
      <c r="E75" s="83"/>
      <c r="F75" s="57" t="str">
        <f t="shared" si="3"/>
        <v/>
      </c>
      <c r="G75" s="107"/>
    </row>
    <row r="76" ht="17.25" customHeight="1" outlineLevel="1">
      <c r="A76" s="80" t="s">
        <v>67</v>
      </c>
      <c r="B76" s="24"/>
      <c r="C76" s="107" t="s">
        <v>68</v>
      </c>
      <c r="D76" s="82" t="b">
        <v>0</v>
      </c>
      <c r="E76" s="83"/>
      <c r="F76" s="57" t="str">
        <f t="shared" si="3"/>
        <v/>
      </c>
      <c r="G76" s="107"/>
    </row>
    <row r="77" ht="17.25" customHeight="1" outlineLevel="1">
      <c r="A77" s="80" t="s">
        <v>69</v>
      </c>
      <c r="B77" s="24"/>
      <c r="C77" s="107" t="s">
        <v>70</v>
      </c>
      <c r="D77" s="82" t="b">
        <v>0</v>
      </c>
      <c r="E77" s="83"/>
      <c r="F77" s="57" t="str">
        <f t="shared" si="3"/>
        <v/>
      </c>
      <c r="G77" s="107"/>
    </row>
    <row r="78" outlineLevel="1">
      <c r="A78" s="26"/>
      <c r="B78" s="27"/>
      <c r="C78" s="119"/>
      <c r="D78" s="29"/>
      <c r="E78" s="30"/>
      <c r="F78" s="30"/>
      <c r="G78" s="119"/>
    </row>
    <row r="79" ht="33.75" customHeight="1" outlineLevel="1">
      <c r="A79" s="110"/>
      <c r="B79" s="111" t="s">
        <v>71</v>
      </c>
      <c r="C79" s="112" t="s">
        <v>72</v>
      </c>
      <c r="D79" s="113"/>
      <c r="E79" s="114">
        <f>COUNTIF(F81:F85,"✓")/COUNTA(F81:F85)</f>
        <v>0</v>
      </c>
      <c r="F79" s="115"/>
      <c r="G79" s="115"/>
    </row>
    <row r="80" outlineLevel="1">
      <c r="A80" s="7"/>
      <c r="B80" s="8"/>
      <c r="C80" s="116"/>
      <c r="D80" s="10"/>
      <c r="E80" s="9"/>
      <c r="F80" s="9"/>
      <c r="G80" s="116"/>
    </row>
    <row r="81" ht="17.25" customHeight="1" outlineLevel="1">
      <c r="A81" s="80" t="s">
        <v>73</v>
      </c>
      <c r="B81" s="24"/>
      <c r="C81" s="107" t="s">
        <v>74</v>
      </c>
      <c r="D81" s="82" t="b">
        <v>0</v>
      </c>
      <c r="E81" s="83"/>
      <c r="F81" s="57" t="str">
        <f t="shared" ref="F81:F85" si="4">if(C81&lt;&gt;"", if(D81=true,"✓",""),"")</f>
        <v/>
      </c>
      <c r="G81" s="107"/>
    </row>
    <row r="82" ht="17.25" customHeight="1" outlineLevel="1">
      <c r="A82" s="80" t="s">
        <v>75</v>
      </c>
      <c r="B82" s="24"/>
      <c r="C82" s="107" t="s">
        <v>76</v>
      </c>
      <c r="D82" s="82" t="b">
        <v>0</v>
      </c>
      <c r="E82" s="83"/>
      <c r="F82" s="57" t="str">
        <f t="shared" si="4"/>
        <v/>
      </c>
      <c r="G82" s="107"/>
    </row>
    <row r="83" ht="17.25" customHeight="1" outlineLevel="1">
      <c r="A83" s="80" t="s">
        <v>77</v>
      </c>
      <c r="B83" s="24"/>
      <c r="C83" s="107" t="s">
        <v>78</v>
      </c>
      <c r="D83" s="82" t="b">
        <v>0</v>
      </c>
      <c r="E83" s="83"/>
      <c r="F83" s="57" t="str">
        <f t="shared" si="4"/>
        <v/>
      </c>
      <c r="G83" s="107"/>
    </row>
    <row r="84" ht="17.25" customHeight="1" outlineLevel="1">
      <c r="A84" s="80" t="s">
        <v>79</v>
      </c>
      <c r="B84" s="24"/>
      <c r="C84" s="107" t="s">
        <v>80</v>
      </c>
      <c r="D84" s="82" t="b">
        <v>0</v>
      </c>
      <c r="E84" s="83"/>
      <c r="F84" s="57" t="str">
        <f t="shared" si="4"/>
        <v/>
      </c>
      <c r="G84" s="107"/>
    </row>
    <row r="85" ht="17.25" customHeight="1" outlineLevel="1">
      <c r="A85" s="80" t="s">
        <v>81</v>
      </c>
      <c r="B85" s="24"/>
      <c r="C85" s="107" t="s">
        <v>82</v>
      </c>
      <c r="D85" s="82" t="b">
        <v>0</v>
      </c>
      <c r="E85" s="83"/>
      <c r="F85" s="57" t="str">
        <f t="shared" si="4"/>
        <v/>
      </c>
      <c r="G85" s="107"/>
    </row>
    <row r="86" outlineLevel="1">
      <c r="A86" s="26"/>
      <c r="B86" s="27"/>
      <c r="C86" s="109"/>
      <c r="D86" s="29"/>
      <c r="E86" s="30"/>
      <c r="F86" s="30"/>
      <c r="G86" s="109"/>
    </row>
    <row r="87" ht="33.75" customHeight="1" outlineLevel="1">
      <c r="A87" s="110"/>
      <c r="B87" s="111" t="s">
        <v>83</v>
      </c>
      <c r="C87" s="112" t="s">
        <v>84</v>
      </c>
      <c r="D87" s="113"/>
      <c r="E87" s="114">
        <f>COUNTIF(F89:F91,"✓")/COUNTA(F89:F91)</f>
        <v>0</v>
      </c>
      <c r="F87" s="115"/>
      <c r="G87" s="115"/>
    </row>
    <row r="88" outlineLevel="1">
      <c r="A88" s="7"/>
      <c r="B88" s="8"/>
      <c r="C88" s="116"/>
      <c r="D88" s="10"/>
      <c r="E88" s="9"/>
      <c r="F88" s="9"/>
      <c r="G88" s="116"/>
    </row>
    <row r="89" ht="17.25" customHeight="1" outlineLevel="1">
      <c r="A89" s="80" t="s">
        <v>85</v>
      </c>
      <c r="B89" s="24"/>
      <c r="C89" s="107" t="s">
        <v>86</v>
      </c>
      <c r="D89" s="82" t="b">
        <v>0</v>
      </c>
      <c r="E89" s="83"/>
      <c r="F89" s="57" t="str">
        <f t="shared" ref="F89:F91" si="5">if(C89&lt;&gt;"", if(D89=true,"✓",""),"")</f>
        <v/>
      </c>
      <c r="G89" s="107"/>
    </row>
    <row r="90" ht="17.25" customHeight="1" outlineLevel="1">
      <c r="A90" s="80" t="s">
        <v>87</v>
      </c>
      <c r="B90" s="24"/>
      <c r="C90" s="107" t="s">
        <v>88</v>
      </c>
      <c r="D90" s="82" t="b">
        <v>0</v>
      </c>
      <c r="E90" s="83"/>
      <c r="F90" s="57" t="str">
        <f t="shared" si="5"/>
        <v/>
      </c>
      <c r="G90" s="107"/>
    </row>
    <row r="91" ht="17.25" customHeight="1" outlineLevel="1">
      <c r="A91" s="80" t="s">
        <v>89</v>
      </c>
      <c r="B91" s="24"/>
      <c r="C91" s="107" t="s">
        <v>90</v>
      </c>
      <c r="D91" s="82" t="b">
        <v>0</v>
      </c>
      <c r="E91" s="83"/>
      <c r="F91" s="57" t="str">
        <f t="shared" si="5"/>
        <v/>
      </c>
      <c r="G91" s="107"/>
    </row>
    <row r="92" outlineLevel="1">
      <c r="A92" s="26"/>
      <c r="B92" s="27"/>
      <c r="C92" s="119"/>
      <c r="D92" s="29"/>
      <c r="E92" s="30"/>
      <c r="F92" s="30"/>
      <c r="G92" s="119"/>
    </row>
    <row r="93" ht="33.75" customHeight="1" outlineLevel="1">
      <c r="A93" s="110"/>
      <c r="B93" s="111" t="s">
        <v>91</v>
      </c>
      <c r="C93" s="112" t="s">
        <v>92</v>
      </c>
      <c r="D93" s="113"/>
      <c r="E93" s="114">
        <f>COUNTIF(F95:F102,"✓")/COUNTA(F95:F102)</f>
        <v>0</v>
      </c>
      <c r="F93" s="115"/>
      <c r="G93" s="115"/>
    </row>
    <row r="94" outlineLevel="1">
      <c r="A94" s="7"/>
      <c r="B94" s="8"/>
      <c r="C94" s="116"/>
      <c r="D94" s="10"/>
      <c r="E94" s="9"/>
      <c r="F94" s="9"/>
      <c r="G94" s="116"/>
    </row>
    <row r="95" ht="17.25" customHeight="1" outlineLevel="1">
      <c r="A95" s="80" t="s">
        <v>93</v>
      </c>
      <c r="B95" s="24"/>
      <c r="C95" s="107" t="s">
        <v>94</v>
      </c>
      <c r="D95" s="82" t="b">
        <v>0</v>
      </c>
      <c r="E95" s="83"/>
      <c r="F95" s="57" t="str">
        <f>if(C95&lt;&gt;"", if(D95=true,"✓",""),"")</f>
        <v/>
      </c>
      <c r="G95" s="107"/>
    </row>
    <row r="96" ht="17.25" customHeight="1" outlineLevel="1">
      <c r="A96" s="80"/>
      <c r="B96" s="75"/>
      <c r="C96" s="107" t="s">
        <v>95</v>
      </c>
      <c r="D96" s="82" t="b">
        <v>0</v>
      </c>
      <c r="E96" s="83"/>
      <c r="F96" s="57"/>
      <c r="G96" s="107"/>
    </row>
    <row r="97" ht="17.25" customHeight="1" outlineLevel="1">
      <c r="A97" s="80" t="s">
        <v>96</v>
      </c>
      <c r="B97" s="24"/>
      <c r="C97" s="107" t="s">
        <v>97</v>
      </c>
      <c r="D97" s="82" t="b">
        <v>0</v>
      </c>
      <c r="E97" s="83"/>
      <c r="F97" s="57" t="str">
        <f t="shared" ref="F97:F102" si="6">if(C97&lt;&gt;"", if(D97=true,"✓",""),"")</f>
        <v/>
      </c>
      <c r="G97" s="107"/>
    </row>
    <row r="98" ht="17.25" customHeight="1" outlineLevel="1">
      <c r="A98" s="80" t="s">
        <v>98</v>
      </c>
      <c r="B98" s="24"/>
      <c r="C98" s="107" t="s">
        <v>99</v>
      </c>
      <c r="D98" s="82" t="b">
        <v>0</v>
      </c>
      <c r="E98" s="83"/>
      <c r="F98" s="57" t="str">
        <f t="shared" si="6"/>
        <v/>
      </c>
      <c r="G98" s="107"/>
    </row>
    <row r="99" ht="17.25" customHeight="1" outlineLevel="1">
      <c r="A99" s="80" t="s">
        <v>100</v>
      </c>
      <c r="B99" s="24"/>
      <c r="C99" s="107" t="s">
        <v>101</v>
      </c>
      <c r="D99" s="82" t="b">
        <v>0</v>
      </c>
      <c r="E99" s="83"/>
      <c r="F99" s="57" t="str">
        <f t="shared" si="6"/>
        <v/>
      </c>
      <c r="G99" s="107"/>
    </row>
    <row r="100" ht="17.25" customHeight="1" outlineLevel="1">
      <c r="A100" s="80" t="s">
        <v>102</v>
      </c>
      <c r="B100" s="24"/>
      <c r="C100" s="107" t="s">
        <v>103</v>
      </c>
      <c r="D100" s="82" t="b">
        <v>0</v>
      </c>
      <c r="E100" s="83"/>
      <c r="F100" s="57" t="str">
        <f t="shared" si="6"/>
        <v/>
      </c>
      <c r="G100" s="107"/>
    </row>
    <row r="101" ht="17.25" customHeight="1" outlineLevel="1">
      <c r="A101" s="80" t="s">
        <v>104</v>
      </c>
      <c r="B101" s="24"/>
      <c r="C101" s="107" t="s">
        <v>105</v>
      </c>
      <c r="D101" s="120" t="b">
        <v>0</v>
      </c>
      <c r="E101" s="83"/>
      <c r="F101" s="57" t="str">
        <f t="shared" si="6"/>
        <v/>
      </c>
      <c r="G101" s="107"/>
    </row>
    <row r="102" ht="17.25" customHeight="1" outlineLevel="1">
      <c r="A102" s="80" t="s">
        <v>106</v>
      </c>
      <c r="B102" s="24"/>
      <c r="C102" s="107" t="s">
        <v>107</v>
      </c>
      <c r="D102" s="120" t="b">
        <v>0</v>
      </c>
      <c r="E102" s="83"/>
      <c r="F102" s="57" t="str">
        <f t="shared" si="6"/>
        <v/>
      </c>
      <c r="G102" s="107"/>
    </row>
    <row r="103" outlineLevel="1">
      <c r="A103" s="26"/>
      <c r="B103" s="27"/>
      <c r="C103" s="119"/>
      <c r="D103" s="29"/>
      <c r="E103" s="30"/>
      <c r="F103" s="30"/>
      <c r="G103" s="119"/>
    </row>
    <row r="104" ht="33.75" customHeight="1" outlineLevel="1">
      <c r="A104" s="110"/>
      <c r="B104" s="111" t="s">
        <v>108</v>
      </c>
      <c r="C104" s="121" t="s">
        <v>109</v>
      </c>
      <c r="D104" s="113"/>
      <c r="E104" s="114">
        <f>COUNTIF(F106:F110,"✓")/COUNTA(F106:F110)</f>
        <v>0</v>
      </c>
      <c r="F104" s="115"/>
      <c r="G104" s="122"/>
    </row>
    <row r="105" outlineLevel="1">
      <c r="A105" s="7"/>
      <c r="B105" s="8"/>
      <c r="C105" s="116"/>
      <c r="D105" s="10"/>
      <c r="E105" s="9"/>
      <c r="F105" s="9"/>
      <c r="G105" s="116"/>
    </row>
    <row r="106" ht="17.25" customHeight="1" outlineLevel="1">
      <c r="A106" s="80" t="s">
        <v>110</v>
      </c>
      <c r="B106" s="24"/>
      <c r="C106" s="107" t="s">
        <v>111</v>
      </c>
      <c r="D106" s="82" t="b">
        <v>0</v>
      </c>
      <c r="E106" s="83"/>
      <c r="F106" s="57" t="str">
        <f t="shared" ref="F106:F110" si="7">if(C106&lt;&gt;"", if(D106=true,"✓",""),"")</f>
        <v/>
      </c>
      <c r="G106" s="107"/>
    </row>
    <row r="107" ht="17.25" customHeight="1" outlineLevel="1">
      <c r="A107" s="80" t="s">
        <v>112</v>
      </c>
      <c r="B107" s="24"/>
      <c r="C107" s="107" t="s">
        <v>113</v>
      </c>
      <c r="D107" s="82" t="b">
        <v>0</v>
      </c>
      <c r="E107" s="83"/>
      <c r="F107" s="57" t="str">
        <f t="shared" si="7"/>
        <v/>
      </c>
      <c r="G107" s="107"/>
    </row>
    <row r="108" ht="17.25" customHeight="1" outlineLevel="1">
      <c r="A108" s="80" t="s">
        <v>114</v>
      </c>
      <c r="B108" s="24"/>
      <c r="C108" s="107" t="s">
        <v>115</v>
      </c>
      <c r="D108" s="120" t="b">
        <v>0</v>
      </c>
      <c r="E108" s="83"/>
      <c r="F108" s="57" t="str">
        <f t="shared" si="7"/>
        <v/>
      </c>
      <c r="G108" s="107"/>
    </row>
    <row r="109" ht="17.25" customHeight="1" outlineLevel="1">
      <c r="A109" s="80" t="s">
        <v>116</v>
      </c>
      <c r="B109" s="24"/>
      <c r="C109" s="107" t="s">
        <v>117</v>
      </c>
      <c r="D109" s="82" t="b">
        <v>0</v>
      </c>
      <c r="E109" s="83"/>
      <c r="F109" s="57" t="str">
        <f t="shared" si="7"/>
        <v/>
      </c>
      <c r="G109" s="107"/>
    </row>
    <row r="110" ht="17.25" customHeight="1" outlineLevel="1">
      <c r="A110" s="80" t="s">
        <v>118</v>
      </c>
      <c r="B110" s="24"/>
      <c r="C110" s="107" t="s">
        <v>119</v>
      </c>
      <c r="D110" s="120" t="b">
        <v>0</v>
      </c>
      <c r="E110" s="83"/>
      <c r="F110" s="57" t="str">
        <f t="shared" si="7"/>
        <v/>
      </c>
      <c r="G110" s="107"/>
    </row>
    <row r="111" outlineLevel="1">
      <c r="A111" s="26"/>
      <c r="B111" s="27"/>
      <c r="C111" s="119"/>
      <c r="D111" s="29"/>
      <c r="E111" s="30"/>
      <c r="F111" s="30"/>
      <c r="G111" s="119"/>
    </row>
    <row r="112" ht="33.75" customHeight="1" outlineLevel="1">
      <c r="A112" s="110"/>
      <c r="B112" s="111" t="s">
        <v>120</v>
      </c>
      <c r="C112" s="112" t="s">
        <v>121</v>
      </c>
      <c r="D112" s="113"/>
      <c r="E112" s="114">
        <f>COUNTIF(F114:F116,"✓")/COUNTA(F114:F116)</f>
        <v>0</v>
      </c>
      <c r="F112" s="115"/>
      <c r="G112" s="115"/>
    </row>
    <row r="113" outlineLevel="1">
      <c r="A113" s="7"/>
      <c r="B113" s="8"/>
      <c r="C113" s="116"/>
      <c r="D113" s="10"/>
      <c r="E113" s="9"/>
      <c r="F113" s="9"/>
      <c r="G113" s="116"/>
    </row>
    <row r="114" ht="17.25" customHeight="1" outlineLevel="1">
      <c r="A114" s="80" t="s">
        <v>122</v>
      </c>
      <c r="B114" s="24"/>
      <c r="C114" s="107" t="s">
        <v>123</v>
      </c>
      <c r="D114" s="82" t="b">
        <v>0</v>
      </c>
      <c r="E114" s="83"/>
      <c r="F114" s="57" t="str">
        <f t="shared" ref="F114:F116" si="8">if(C114&lt;&gt;"", if(D114=true,"✓",""),"")</f>
        <v/>
      </c>
      <c r="G114" s="107"/>
    </row>
    <row r="115" ht="17.25" customHeight="1" outlineLevel="1">
      <c r="A115" s="80" t="s">
        <v>124</v>
      </c>
      <c r="B115" s="24"/>
      <c r="C115" s="107" t="s">
        <v>125</v>
      </c>
      <c r="D115" s="82" t="b">
        <v>0</v>
      </c>
      <c r="E115" s="83"/>
      <c r="F115" s="57" t="str">
        <f t="shared" si="8"/>
        <v/>
      </c>
      <c r="G115" s="107"/>
    </row>
    <row r="116" ht="17.25" customHeight="1" outlineLevel="1">
      <c r="A116" s="80" t="s">
        <v>126</v>
      </c>
      <c r="B116" s="24"/>
      <c r="C116" s="107" t="s">
        <v>127</v>
      </c>
      <c r="D116" s="82" t="b">
        <v>0</v>
      </c>
      <c r="E116" s="83"/>
      <c r="F116" s="57" t="str">
        <f t="shared" si="8"/>
        <v/>
      </c>
      <c r="G116" s="107"/>
    </row>
    <row r="117" outlineLevel="1">
      <c r="A117" s="23"/>
      <c r="B117" s="24"/>
      <c r="C117" s="20"/>
      <c r="D117" s="25"/>
      <c r="E117" s="20"/>
      <c r="F117" s="20"/>
      <c r="G117" s="20"/>
    </row>
    <row r="118">
      <c r="A118" s="26"/>
      <c r="B118" s="27"/>
      <c r="C118" s="30"/>
      <c r="D118" s="29"/>
      <c r="E118" s="30"/>
      <c r="F118" s="30"/>
      <c r="G118" s="30"/>
    </row>
    <row r="119" ht="33.75" customHeight="1">
      <c r="A119" s="123"/>
      <c r="B119" s="124"/>
      <c r="C119" s="125" t="s">
        <v>128</v>
      </c>
      <c r="D119" s="126"/>
      <c r="E119" s="127">
        <f t="array" ref="E119">max({E121,E139,E152})</f>
        <v>0</v>
      </c>
      <c r="F119" s="128" t="str">
        <f>hyperlink(IF(unicode(F282) = 128104, "https://drive.google.com/file/d/1z_Eqwtb0GHEOvwdbD7oD0u5L3ef_QXye/preview",IF(unicode(F282) = 127482, "https://drive.google.com/file/d/1zS5tDzTv4Hu4xy0YhX-AHNF95IvMh0o9/preview",IF(unicode(F282) = 127468, "https://drive.google.com/file/d/1S7FGDli-AKeFPtxq8ku2SUQSlKnoBVvi/preview",""))),"Play ▸")</f>
        <v>Play ▸</v>
      </c>
      <c r="G119" s="129"/>
    </row>
    <row r="120" outlineLevel="1">
      <c r="A120" s="38"/>
      <c r="B120" s="39"/>
      <c r="C120" s="42"/>
      <c r="D120" s="41"/>
      <c r="E120" s="42"/>
      <c r="F120" s="42"/>
      <c r="G120" s="42"/>
    </row>
    <row r="121" ht="33.75" customHeight="1" outlineLevel="1">
      <c r="A121" s="130"/>
      <c r="B121" s="131"/>
      <c r="C121" s="132" t="s">
        <v>129</v>
      </c>
      <c r="D121" s="133"/>
      <c r="E121" s="134">
        <f>COUNTIF(F123:F137,"✓")/COUNTA(F123:F137)</f>
        <v>0</v>
      </c>
      <c r="F121" s="131"/>
      <c r="G121" s="131"/>
    </row>
    <row r="122" outlineLevel="2">
      <c r="A122" s="7"/>
      <c r="B122" s="8"/>
      <c r="C122" s="135"/>
      <c r="D122" s="10"/>
      <c r="E122" s="9"/>
      <c r="F122" s="9"/>
      <c r="G122" s="135"/>
    </row>
    <row r="123" ht="17.25" customHeight="1" outlineLevel="2">
      <c r="A123" s="136" t="s">
        <v>130</v>
      </c>
      <c r="B123" s="24"/>
      <c r="C123" s="118" t="s">
        <v>131</v>
      </c>
      <c r="D123" s="82" t="b">
        <v>0</v>
      </c>
      <c r="E123" s="83"/>
      <c r="F123" s="57" t="str">
        <f t="shared" ref="F123:F137" si="9">if(C123&lt;&gt;"", if(D123=true,"✓",""),"")</f>
        <v/>
      </c>
      <c r="G123" s="118"/>
    </row>
    <row r="124" ht="17.25" customHeight="1" outlineLevel="2">
      <c r="A124" s="136" t="s">
        <v>132</v>
      </c>
      <c r="B124" s="24"/>
      <c r="C124" s="118" t="s">
        <v>133</v>
      </c>
      <c r="D124" s="82" t="b">
        <v>0</v>
      </c>
      <c r="E124" s="83"/>
      <c r="F124" s="57" t="str">
        <f t="shared" si="9"/>
        <v/>
      </c>
      <c r="G124" s="118"/>
    </row>
    <row r="125" ht="17.25" customHeight="1" outlineLevel="2">
      <c r="A125" s="136" t="s">
        <v>134</v>
      </c>
      <c r="B125" s="24"/>
      <c r="C125" s="118" t="s">
        <v>135</v>
      </c>
      <c r="D125" s="82" t="b">
        <v>0</v>
      </c>
      <c r="E125" s="83"/>
      <c r="F125" s="57" t="str">
        <f t="shared" si="9"/>
        <v/>
      </c>
      <c r="G125" s="118"/>
    </row>
    <row r="126" ht="17.25" customHeight="1" outlineLevel="2">
      <c r="A126" s="136" t="s">
        <v>136</v>
      </c>
      <c r="B126" s="24"/>
      <c r="C126" s="118" t="s">
        <v>137</v>
      </c>
      <c r="D126" s="82" t="b">
        <v>0</v>
      </c>
      <c r="E126" s="83"/>
      <c r="F126" s="57" t="str">
        <f t="shared" si="9"/>
        <v/>
      </c>
      <c r="G126" s="118"/>
    </row>
    <row r="127" ht="17.25" customHeight="1" outlineLevel="2">
      <c r="A127" s="136" t="s">
        <v>138</v>
      </c>
      <c r="B127" s="24"/>
      <c r="C127" s="118" t="s">
        <v>139</v>
      </c>
      <c r="D127" s="82" t="b">
        <v>0</v>
      </c>
      <c r="E127" s="83"/>
      <c r="F127" s="57" t="str">
        <f t="shared" si="9"/>
        <v/>
      </c>
      <c r="G127" s="118"/>
    </row>
    <row r="128" ht="17.25" customHeight="1" outlineLevel="2">
      <c r="A128" s="136" t="s">
        <v>140</v>
      </c>
      <c r="B128" s="24"/>
      <c r="C128" s="118" t="s">
        <v>141</v>
      </c>
      <c r="D128" s="82" t="b">
        <v>0</v>
      </c>
      <c r="E128" s="83"/>
      <c r="F128" s="57" t="str">
        <f t="shared" si="9"/>
        <v/>
      </c>
      <c r="G128" s="118"/>
    </row>
    <row r="129" ht="17.25" customHeight="1" outlineLevel="2">
      <c r="A129" s="136" t="s">
        <v>142</v>
      </c>
      <c r="B129" s="24"/>
      <c r="C129" s="118" t="s">
        <v>143</v>
      </c>
      <c r="D129" s="82" t="b">
        <v>0</v>
      </c>
      <c r="E129" s="83"/>
      <c r="F129" s="57" t="str">
        <f t="shared" si="9"/>
        <v/>
      </c>
      <c r="G129" s="118"/>
    </row>
    <row r="130" ht="17.25" customHeight="1" outlineLevel="2">
      <c r="A130" s="136" t="s">
        <v>144</v>
      </c>
      <c r="B130" s="24"/>
      <c r="C130" s="118" t="s">
        <v>145</v>
      </c>
      <c r="D130" s="82" t="b">
        <v>0</v>
      </c>
      <c r="E130" s="83"/>
      <c r="F130" s="57" t="str">
        <f t="shared" si="9"/>
        <v/>
      </c>
      <c r="G130" s="118"/>
    </row>
    <row r="131" ht="17.25" customHeight="1" outlineLevel="2">
      <c r="A131" s="136" t="s">
        <v>146</v>
      </c>
      <c r="B131" s="24"/>
      <c r="C131" s="118" t="s">
        <v>147</v>
      </c>
      <c r="D131" s="82" t="b">
        <v>0</v>
      </c>
      <c r="E131" s="83"/>
      <c r="F131" s="57" t="str">
        <f t="shared" si="9"/>
        <v/>
      </c>
      <c r="G131" s="118"/>
    </row>
    <row r="132" ht="17.25" customHeight="1" outlineLevel="2">
      <c r="A132" s="136" t="s">
        <v>148</v>
      </c>
      <c r="B132" s="24"/>
      <c r="C132" s="118" t="s">
        <v>149</v>
      </c>
      <c r="D132" s="82" t="b">
        <v>0</v>
      </c>
      <c r="E132" s="83"/>
      <c r="F132" s="57" t="str">
        <f t="shared" si="9"/>
        <v/>
      </c>
      <c r="G132" s="118"/>
    </row>
    <row r="133" ht="17.25" customHeight="1" outlineLevel="2">
      <c r="A133" s="136" t="s">
        <v>150</v>
      </c>
      <c r="B133" s="24"/>
      <c r="C133" s="118" t="s">
        <v>151</v>
      </c>
      <c r="D133" s="82" t="b">
        <v>0</v>
      </c>
      <c r="E133" s="83"/>
      <c r="F133" s="57" t="str">
        <f t="shared" si="9"/>
        <v/>
      </c>
      <c r="G133" s="118"/>
    </row>
    <row r="134" ht="17.25" customHeight="1" outlineLevel="2">
      <c r="A134" s="136" t="s">
        <v>152</v>
      </c>
      <c r="B134" s="24"/>
      <c r="C134" s="137" t="s">
        <v>153</v>
      </c>
      <c r="D134" s="82" t="b">
        <v>0</v>
      </c>
      <c r="E134" s="83"/>
      <c r="F134" s="57" t="str">
        <f t="shared" si="9"/>
        <v/>
      </c>
      <c r="G134" s="118"/>
    </row>
    <row r="135" ht="17.25" customHeight="1" outlineLevel="2">
      <c r="A135" s="136" t="s">
        <v>154</v>
      </c>
      <c r="B135" s="24"/>
      <c r="C135" s="137" t="s">
        <v>155</v>
      </c>
      <c r="D135" s="82" t="b">
        <v>0</v>
      </c>
      <c r="E135" s="83"/>
      <c r="F135" s="57" t="str">
        <f t="shared" si="9"/>
        <v/>
      </c>
      <c r="G135" s="118"/>
    </row>
    <row r="136" ht="17.25" customHeight="1" outlineLevel="2">
      <c r="A136" s="136" t="s">
        <v>156</v>
      </c>
      <c r="B136" s="24"/>
      <c r="C136" s="137" t="s">
        <v>157</v>
      </c>
      <c r="D136" s="82" t="b">
        <v>0</v>
      </c>
      <c r="E136" s="83"/>
      <c r="F136" s="57" t="str">
        <f t="shared" si="9"/>
        <v/>
      </c>
      <c r="G136" s="118"/>
    </row>
    <row r="137" ht="17.25" customHeight="1" outlineLevel="2">
      <c r="A137" s="136" t="s">
        <v>158</v>
      </c>
      <c r="B137" s="24"/>
      <c r="C137" s="137" t="s">
        <v>159</v>
      </c>
      <c r="D137" s="82" t="b">
        <v>0</v>
      </c>
      <c r="E137" s="83"/>
      <c r="F137" s="57" t="str">
        <f t="shared" si="9"/>
        <v/>
      </c>
      <c r="G137" s="118"/>
    </row>
    <row r="138" outlineLevel="1">
      <c r="A138" s="26"/>
      <c r="B138" s="27"/>
      <c r="C138" s="30"/>
      <c r="D138" s="29"/>
      <c r="E138" s="30"/>
      <c r="F138" s="30"/>
      <c r="G138" s="30"/>
    </row>
    <row r="139" ht="33.75" customHeight="1" outlineLevel="1">
      <c r="A139" s="138"/>
      <c r="B139" s="139"/>
      <c r="C139" s="132" t="s">
        <v>160</v>
      </c>
      <c r="D139" s="140"/>
      <c r="E139" s="141">
        <f>COUNTIF(F141:F150,"✓")/COUNTA(F141:F150)</f>
        <v>0</v>
      </c>
      <c r="F139" s="142"/>
      <c r="G139" s="142"/>
    </row>
    <row r="140" outlineLevel="2">
      <c r="A140" s="7"/>
      <c r="B140" s="8"/>
      <c r="C140" s="135"/>
      <c r="D140" s="10"/>
      <c r="E140" s="9"/>
      <c r="F140" s="9"/>
      <c r="G140" s="135"/>
    </row>
    <row r="141" ht="17.25" customHeight="1" outlineLevel="2">
      <c r="A141" s="143" t="s">
        <v>161</v>
      </c>
      <c r="B141" s="8"/>
      <c r="C141" s="135" t="s">
        <v>162</v>
      </c>
      <c r="D141" s="77" t="b">
        <v>0</v>
      </c>
      <c r="E141" s="17"/>
      <c r="F141" s="57" t="str">
        <f t="shared" ref="F141:F150" si="10">if(C141&lt;&gt;"", if(D141=true,"✓",""),"")</f>
        <v/>
      </c>
      <c r="G141" s="135"/>
    </row>
    <row r="142" ht="17.25" customHeight="1" outlineLevel="2">
      <c r="A142" s="136" t="s">
        <v>163</v>
      </c>
      <c r="B142" s="24"/>
      <c r="C142" s="118" t="s">
        <v>164</v>
      </c>
      <c r="D142" s="82" t="b">
        <v>0</v>
      </c>
      <c r="E142" s="83"/>
      <c r="F142" s="57" t="str">
        <f t="shared" si="10"/>
        <v/>
      </c>
      <c r="G142" s="118"/>
    </row>
    <row r="143" ht="17.25" customHeight="1" outlineLevel="2">
      <c r="A143" s="136" t="s">
        <v>165</v>
      </c>
      <c r="B143" s="24"/>
      <c r="C143" s="118" t="s">
        <v>166</v>
      </c>
      <c r="D143" s="82" t="b">
        <v>0</v>
      </c>
      <c r="E143" s="83"/>
      <c r="F143" s="57" t="str">
        <f t="shared" si="10"/>
        <v/>
      </c>
      <c r="G143" s="118"/>
    </row>
    <row r="144" ht="17.25" customHeight="1" outlineLevel="2">
      <c r="A144" s="136" t="s">
        <v>167</v>
      </c>
      <c r="B144" s="24"/>
      <c r="C144" s="118" t="s">
        <v>168</v>
      </c>
      <c r="D144" s="82" t="b">
        <v>0</v>
      </c>
      <c r="E144" s="83"/>
      <c r="F144" s="57" t="str">
        <f t="shared" si="10"/>
        <v/>
      </c>
      <c r="G144" s="118"/>
    </row>
    <row r="145" ht="17.25" customHeight="1" outlineLevel="2">
      <c r="A145" s="136" t="s">
        <v>169</v>
      </c>
      <c r="B145" s="24"/>
      <c r="C145" s="118" t="s">
        <v>170</v>
      </c>
      <c r="D145" s="120" t="b">
        <v>0</v>
      </c>
      <c r="E145" s="83"/>
      <c r="F145" s="57" t="str">
        <f t="shared" si="10"/>
        <v/>
      </c>
      <c r="G145" s="118"/>
    </row>
    <row r="146" ht="17.25" customHeight="1" outlineLevel="2">
      <c r="A146" s="136" t="s">
        <v>171</v>
      </c>
      <c r="B146" s="24"/>
      <c r="C146" s="118" t="s">
        <v>172</v>
      </c>
      <c r="D146" s="120" t="b">
        <v>0</v>
      </c>
      <c r="E146" s="83"/>
      <c r="F146" s="57" t="str">
        <f t="shared" si="10"/>
        <v/>
      </c>
      <c r="G146" s="118"/>
    </row>
    <row r="147" ht="17.25" customHeight="1" outlineLevel="2">
      <c r="A147" s="136" t="s">
        <v>173</v>
      </c>
      <c r="B147" s="24"/>
      <c r="C147" s="118" t="s">
        <v>174</v>
      </c>
      <c r="D147" s="120" t="b">
        <v>0</v>
      </c>
      <c r="E147" s="83"/>
      <c r="F147" s="57" t="str">
        <f t="shared" si="10"/>
        <v/>
      </c>
      <c r="G147" s="118"/>
    </row>
    <row r="148" ht="17.25" customHeight="1" outlineLevel="2">
      <c r="A148" s="136" t="s">
        <v>175</v>
      </c>
      <c r="B148" s="24"/>
      <c r="C148" s="118" t="s">
        <v>176</v>
      </c>
      <c r="D148" s="120" t="b">
        <v>0</v>
      </c>
      <c r="E148" s="83"/>
      <c r="F148" s="57" t="str">
        <f t="shared" si="10"/>
        <v/>
      </c>
      <c r="G148" s="118"/>
    </row>
    <row r="149" ht="17.25" customHeight="1" outlineLevel="2">
      <c r="A149" s="136" t="s">
        <v>177</v>
      </c>
      <c r="B149" s="24"/>
      <c r="C149" s="118" t="s">
        <v>178</v>
      </c>
      <c r="D149" s="120" t="b">
        <v>0</v>
      </c>
      <c r="E149" s="83"/>
      <c r="F149" s="57" t="str">
        <f t="shared" si="10"/>
        <v/>
      </c>
      <c r="G149" s="118"/>
    </row>
    <row r="150" ht="17.25" customHeight="1" outlineLevel="2">
      <c r="A150" s="136" t="s">
        <v>179</v>
      </c>
      <c r="B150" s="24"/>
      <c r="C150" s="118" t="s">
        <v>180</v>
      </c>
      <c r="D150" s="120" t="b">
        <v>0</v>
      </c>
      <c r="E150" s="83"/>
      <c r="F150" s="57" t="str">
        <f t="shared" si="10"/>
        <v/>
      </c>
      <c r="G150" s="118"/>
    </row>
    <row r="151" outlineLevel="1">
      <c r="A151" s="26"/>
      <c r="B151" s="27"/>
      <c r="C151" s="30"/>
      <c r="D151" s="29"/>
      <c r="E151" s="30"/>
      <c r="F151" s="30"/>
      <c r="G151" s="30"/>
    </row>
    <row r="152" ht="33.75" customHeight="1" outlineLevel="1">
      <c r="A152" s="130"/>
      <c r="B152" s="131"/>
      <c r="C152" s="132" t="s">
        <v>181</v>
      </c>
      <c r="D152" s="133"/>
      <c r="E152" s="134">
        <f>COUNTIF(F154:F167,"✓")/COUNTA(F154:F167)</f>
        <v>0</v>
      </c>
      <c r="F152" s="131"/>
      <c r="G152" s="131"/>
    </row>
    <row r="153" outlineLevel="2">
      <c r="A153" s="7"/>
      <c r="B153" s="8"/>
      <c r="C153" s="135"/>
      <c r="D153" s="10"/>
      <c r="E153" s="9"/>
      <c r="F153" s="9"/>
      <c r="G153" s="135"/>
    </row>
    <row r="154" ht="17.25" customHeight="1" outlineLevel="2">
      <c r="A154" s="143" t="s">
        <v>182</v>
      </c>
      <c r="B154" s="8"/>
      <c r="C154" s="135" t="s">
        <v>183</v>
      </c>
      <c r="D154" s="144" t="b">
        <v>0</v>
      </c>
      <c r="E154" s="17"/>
      <c r="F154" s="57" t="str">
        <f t="shared" ref="F154:F167" si="11">if(C154&lt;&gt;"", if(D154=true,"✓",""),"")</f>
        <v/>
      </c>
      <c r="G154" s="135"/>
    </row>
    <row r="155" ht="17.25" customHeight="1" outlineLevel="2">
      <c r="A155" s="136" t="s">
        <v>184</v>
      </c>
      <c r="B155" s="24"/>
      <c r="C155" s="118" t="s">
        <v>185</v>
      </c>
      <c r="D155" s="120" t="b">
        <v>0</v>
      </c>
      <c r="E155" s="83"/>
      <c r="F155" s="57" t="str">
        <f t="shared" si="11"/>
        <v/>
      </c>
      <c r="G155" s="118"/>
    </row>
    <row r="156" ht="17.25" customHeight="1" outlineLevel="2">
      <c r="A156" s="136" t="s">
        <v>186</v>
      </c>
      <c r="B156" s="24"/>
      <c r="C156" s="118" t="s">
        <v>187</v>
      </c>
      <c r="D156" s="120" t="b">
        <v>0</v>
      </c>
      <c r="E156" s="83"/>
      <c r="F156" s="57" t="str">
        <f t="shared" si="11"/>
        <v/>
      </c>
      <c r="G156" s="118"/>
    </row>
    <row r="157" ht="17.25" customHeight="1" outlineLevel="2">
      <c r="A157" s="136" t="s">
        <v>188</v>
      </c>
      <c r="B157" s="24"/>
      <c r="C157" s="118" t="s">
        <v>189</v>
      </c>
      <c r="D157" s="120" t="b">
        <v>0</v>
      </c>
      <c r="E157" s="83"/>
      <c r="F157" s="57" t="str">
        <f t="shared" si="11"/>
        <v/>
      </c>
      <c r="G157" s="118"/>
    </row>
    <row r="158" ht="17.25" customHeight="1" outlineLevel="2">
      <c r="A158" s="136" t="s">
        <v>190</v>
      </c>
      <c r="B158" s="24"/>
      <c r="C158" s="118" t="s">
        <v>191</v>
      </c>
      <c r="D158" s="120" t="b">
        <v>0</v>
      </c>
      <c r="E158" s="83"/>
      <c r="F158" s="57" t="str">
        <f t="shared" si="11"/>
        <v/>
      </c>
      <c r="G158" s="118"/>
    </row>
    <row r="159" ht="17.25" customHeight="1" outlineLevel="2">
      <c r="A159" s="136" t="s">
        <v>192</v>
      </c>
      <c r="B159" s="24"/>
      <c r="C159" s="118" t="s">
        <v>193</v>
      </c>
      <c r="D159" s="120" t="b">
        <v>0</v>
      </c>
      <c r="E159" s="83"/>
      <c r="F159" s="57" t="str">
        <f t="shared" si="11"/>
        <v/>
      </c>
      <c r="G159" s="118"/>
    </row>
    <row r="160" ht="17.25" customHeight="1" outlineLevel="2">
      <c r="A160" s="136" t="s">
        <v>194</v>
      </c>
      <c r="B160" s="24"/>
      <c r="C160" s="118" t="s">
        <v>195</v>
      </c>
      <c r="D160" s="120" t="b">
        <v>0</v>
      </c>
      <c r="E160" s="83"/>
      <c r="F160" s="57" t="str">
        <f t="shared" si="11"/>
        <v/>
      </c>
      <c r="G160" s="118"/>
    </row>
    <row r="161" ht="17.25" customHeight="1" outlineLevel="2">
      <c r="A161" s="136" t="s">
        <v>196</v>
      </c>
      <c r="B161" s="24"/>
      <c r="C161" s="118" t="s">
        <v>197</v>
      </c>
      <c r="D161" s="120" t="b">
        <v>0</v>
      </c>
      <c r="E161" s="83"/>
      <c r="F161" s="57" t="str">
        <f t="shared" si="11"/>
        <v/>
      </c>
      <c r="G161" s="118"/>
    </row>
    <row r="162" ht="17.25" customHeight="1" outlineLevel="2">
      <c r="A162" s="136" t="s">
        <v>198</v>
      </c>
      <c r="B162" s="24"/>
      <c r="C162" s="118" t="s">
        <v>199</v>
      </c>
      <c r="D162" s="120" t="b">
        <v>0</v>
      </c>
      <c r="E162" s="83"/>
      <c r="F162" s="57" t="str">
        <f t="shared" si="11"/>
        <v/>
      </c>
      <c r="G162" s="118"/>
    </row>
    <row r="163" ht="17.25" customHeight="1" outlineLevel="2">
      <c r="A163" s="136" t="s">
        <v>200</v>
      </c>
      <c r="B163" s="24"/>
      <c r="C163" s="118" t="s">
        <v>201</v>
      </c>
      <c r="D163" s="120" t="b">
        <v>0</v>
      </c>
      <c r="E163" s="83"/>
      <c r="F163" s="57" t="str">
        <f t="shared" si="11"/>
        <v/>
      </c>
      <c r="G163" s="118"/>
    </row>
    <row r="164" ht="17.25" customHeight="1" outlineLevel="2">
      <c r="A164" s="136" t="s">
        <v>202</v>
      </c>
      <c r="B164" s="24"/>
      <c r="C164" s="118" t="s">
        <v>203</v>
      </c>
      <c r="D164" s="120" t="b">
        <v>0</v>
      </c>
      <c r="E164" s="83"/>
      <c r="F164" s="57" t="str">
        <f t="shared" si="11"/>
        <v/>
      </c>
      <c r="G164" s="118"/>
    </row>
    <row r="165" ht="17.25" customHeight="1" outlineLevel="2">
      <c r="A165" s="136" t="s">
        <v>204</v>
      </c>
      <c r="B165" s="24"/>
      <c r="C165" s="118" t="s">
        <v>205</v>
      </c>
      <c r="D165" s="120" t="b">
        <v>0</v>
      </c>
      <c r="E165" s="83"/>
      <c r="F165" s="57" t="str">
        <f t="shared" si="11"/>
        <v/>
      </c>
      <c r="G165" s="118"/>
    </row>
    <row r="166" ht="17.25" customHeight="1" outlineLevel="2">
      <c r="A166" s="136" t="s">
        <v>206</v>
      </c>
      <c r="B166" s="24"/>
      <c r="C166" s="118" t="s">
        <v>207</v>
      </c>
      <c r="D166" s="120" t="b">
        <v>0</v>
      </c>
      <c r="E166" s="83"/>
      <c r="F166" s="57" t="str">
        <f t="shared" si="11"/>
        <v/>
      </c>
      <c r="G166" s="118"/>
    </row>
    <row r="167" ht="17.25" customHeight="1" outlineLevel="2">
      <c r="A167" s="136" t="s">
        <v>208</v>
      </c>
      <c r="B167" s="24"/>
      <c r="C167" s="118" t="s">
        <v>209</v>
      </c>
      <c r="D167" s="120" t="b">
        <v>0</v>
      </c>
      <c r="E167" s="83"/>
      <c r="F167" s="57" t="str">
        <f t="shared" si="11"/>
        <v/>
      </c>
      <c r="G167" s="118"/>
    </row>
    <row r="168" outlineLevel="1">
      <c r="A168" s="26"/>
      <c r="B168" s="27"/>
      <c r="C168" s="30"/>
      <c r="D168" s="55"/>
      <c r="E168" s="30"/>
      <c r="F168" s="30"/>
      <c r="G168" s="30"/>
    </row>
    <row r="169" ht="33.75" customHeight="1" outlineLevel="1">
      <c r="A169" s="130"/>
      <c r="B169" s="145" t="s">
        <v>210</v>
      </c>
      <c r="C169" s="132" t="s">
        <v>211</v>
      </c>
      <c r="D169" s="133"/>
      <c r="E169" s="134">
        <f>COUNTIF(F171:F172,"✓")/COUNTA(F171:F172)</f>
        <v>0</v>
      </c>
      <c r="F169" s="131"/>
      <c r="G169" s="131"/>
    </row>
    <row r="170" outlineLevel="2">
      <c r="A170" s="7"/>
      <c r="B170" s="8"/>
      <c r="C170" s="97"/>
      <c r="D170" s="10"/>
      <c r="E170" s="9"/>
      <c r="F170" s="9"/>
      <c r="G170" s="135"/>
    </row>
    <row r="171" ht="17.25" customHeight="1" outlineLevel="2">
      <c r="A171" s="143" t="s">
        <v>212</v>
      </c>
      <c r="B171" s="8"/>
      <c r="C171" s="16" t="s">
        <v>213</v>
      </c>
      <c r="D171" s="77" t="b">
        <v>0</v>
      </c>
      <c r="E171" s="17"/>
      <c r="F171" s="57" t="str">
        <f t="shared" ref="F171:F172" si="12">if(C171&lt;&gt;"", if(D171=true,"✓",""),"")</f>
        <v/>
      </c>
      <c r="G171" s="135"/>
    </row>
    <row r="172" ht="17.25" customHeight="1" outlineLevel="2">
      <c r="A172" s="136" t="s">
        <v>214</v>
      </c>
      <c r="B172" s="24"/>
      <c r="C172" s="137" t="s">
        <v>215</v>
      </c>
      <c r="D172" s="82" t="b">
        <v>0</v>
      </c>
      <c r="E172" s="83"/>
      <c r="F172" s="57" t="str">
        <f t="shared" si="12"/>
        <v/>
      </c>
      <c r="G172" s="118"/>
    </row>
    <row r="173">
      <c r="A173" s="26"/>
      <c r="B173" s="27"/>
      <c r="C173" s="30"/>
      <c r="D173" s="29"/>
      <c r="E173" s="30"/>
      <c r="F173" s="30"/>
      <c r="G173" s="30"/>
    </row>
    <row r="174" ht="33.75" customHeight="1">
      <c r="A174" s="146"/>
      <c r="B174" s="147"/>
      <c r="C174" s="148" t="s">
        <v>216</v>
      </c>
      <c r="D174" s="149"/>
      <c r="E174" s="150">
        <f>E191</f>
        <v>0</v>
      </c>
      <c r="F174" s="151" t="str">
        <f>hyperlink(IF(unicode(F282) = 128104, "https://drive.google.com/file/d/1Dx5gEKV_MZwSqE0rCARzAC6wTdc4rkYz/preview",IF(unicode(F282) = 127482, "https://drive.google.com/file/d/13-OOvgIZ4rn1PPKiT6lzGqyskIP9WzGw/preview",IF(unicode(F282) = 127468, "https://drive.google.com/file/d/1ZE1sY5YqUy2QE2am0Xuh7VxNEP5uNVCg/preview",""))),"Play ▸")</f>
        <v>Play ▸</v>
      </c>
      <c r="G174" s="152"/>
    </row>
    <row r="175" outlineLevel="1">
      <c r="A175" s="38"/>
      <c r="B175" s="39"/>
      <c r="C175" s="42"/>
      <c r="D175" s="41"/>
      <c r="E175" s="42"/>
      <c r="F175" s="42"/>
      <c r="G175" s="42"/>
    </row>
    <row r="176" ht="33.75" customHeight="1" outlineLevel="1">
      <c r="A176" s="153"/>
      <c r="B176" s="154" t="s">
        <v>217</v>
      </c>
      <c r="C176" s="155" t="s">
        <v>218</v>
      </c>
      <c r="D176" s="156"/>
      <c r="E176" s="157">
        <f t="array" ref="E176">COUNTIF({F178,F180,F182,F184,F186,F188},"✓")/COUNTA({F178,F180,F182,F184,F186,F188})</f>
        <v>0</v>
      </c>
      <c r="F176" s="158"/>
      <c r="G176" s="158"/>
    </row>
    <row r="177" outlineLevel="1">
      <c r="A177" s="38"/>
      <c r="B177" s="39"/>
      <c r="C177" s="40"/>
      <c r="D177" s="41"/>
      <c r="E177" s="42"/>
      <c r="F177" s="42"/>
      <c r="G177" s="42"/>
    </row>
    <row r="178" outlineLevel="1">
      <c r="A178" s="159" t="s">
        <v>219</v>
      </c>
      <c r="B178" s="27"/>
      <c r="C178" s="160" t="s">
        <v>220</v>
      </c>
      <c r="D178" s="55" t="b">
        <v>0</v>
      </c>
      <c r="E178" s="161" t="s">
        <v>221</v>
      </c>
      <c r="F178" s="162" t="str">
        <f>if(and(left(E178,7)&lt;&gt;"Replace",ISBLANK(E178)&lt;&gt;true), if(D178=true,"✓",""),"")</f>
        <v/>
      </c>
      <c r="G178" s="30"/>
    </row>
    <row r="179" outlineLevel="1">
      <c r="A179" s="26"/>
      <c r="B179" s="27"/>
      <c r="C179" s="28"/>
      <c r="D179" s="29"/>
      <c r="E179" s="161"/>
      <c r="F179" s="30"/>
      <c r="G179" s="30"/>
    </row>
    <row r="180" outlineLevel="1">
      <c r="A180" s="159" t="s">
        <v>222</v>
      </c>
      <c r="B180" s="27"/>
      <c r="C180" s="160" t="s">
        <v>223</v>
      </c>
      <c r="D180" s="55" t="b">
        <v>0</v>
      </c>
      <c r="E180" s="161" t="s">
        <v>221</v>
      </c>
      <c r="F180" s="162" t="str">
        <f>if(and(left(E180,7)&lt;&gt;"Replace",ISBLANK(E180)&lt;&gt;true), if(D180=true,"✓",""),"")</f>
        <v/>
      </c>
      <c r="G180" s="30"/>
    </row>
    <row r="181" outlineLevel="1">
      <c r="A181" s="26"/>
      <c r="B181" s="27"/>
      <c r="C181" s="28"/>
      <c r="D181" s="29"/>
      <c r="E181" s="161"/>
      <c r="F181" s="30"/>
      <c r="G181" s="30"/>
    </row>
    <row r="182" outlineLevel="1">
      <c r="A182" s="159" t="s">
        <v>224</v>
      </c>
      <c r="B182" s="27"/>
      <c r="C182" s="160" t="s">
        <v>225</v>
      </c>
      <c r="D182" s="55" t="b">
        <v>0</v>
      </c>
      <c r="E182" s="161" t="s">
        <v>221</v>
      </c>
      <c r="F182" s="162" t="str">
        <f>if(and(left(E182,7)&lt;&gt;"Replace",ISBLANK(E182)&lt;&gt;true), if(D182=true,"✓",""),"")</f>
        <v/>
      </c>
      <c r="G182" s="30"/>
    </row>
    <row r="183" outlineLevel="1">
      <c r="A183" s="26"/>
      <c r="B183" s="27"/>
      <c r="C183" s="28"/>
      <c r="D183" s="29"/>
      <c r="E183" s="161"/>
      <c r="F183" s="30"/>
      <c r="G183" s="30"/>
    </row>
    <row r="184" outlineLevel="1">
      <c r="A184" s="159" t="s">
        <v>226</v>
      </c>
      <c r="B184" s="27"/>
      <c r="C184" s="160" t="s">
        <v>227</v>
      </c>
      <c r="D184" s="55" t="b">
        <v>0</v>
      </c>
      <c r="E184" s="161" t="s">
        <v>221</v>
      </c>
      <c r="F184" s="162" t="str">
        <f>if(and(left(E184,7)&lt;&gt;"Replace",ISBLANK(E184)&lt;&gt;true), if(D184=true,"✓",""),"")</f>
        <v/>
      </c>
      <c r="G184" s="30"/>
    </row>
    <row r="185" outlineLevel="1">
      <c r="A185" s="26"/>
      <c r="B185" s="27"/>
      <c r="C185" s="28"/>
      <c r="D185" s="29"/>
      <c r="E185" s="161"/>
      <c r="F185" s="30"/>
      <c r="G185" s="30"/>
    </row>
    <row r="186" outlineLevel="1">
      <c r="A186" s="159" t="s">
        <v>228</v>
      </c>
      <c r="B186" s="27"/>
      <c r="C186" s="160" t="s">
        <v>229</v>
      </c>
      <c r="D186" s="55" t="b">
        <v>0</v>
      </c>
      <c r="E186" s="161" t="s">
        <v>221</v>
      </c>
      <c r="F186" s="162" t="str">
        <f>if(and(left(E186,7)&lt;&gt;"Replace",ISBLANK(E186)&lt;&gt;true), if(D186=true,"✓",""),"")</f>
        <v/>
      </c>
      <c r="G186" s="30"/>
    </row>
    <row r="187" outlineLevel="1">
      <c r="A187" s="26"/>
      <c r="B187" s="27"/>
      <c r="C187" s="28"/>
      <c r="D187" s="29"/>
      <c r="E187" s="161"/>
      <c r="F187" s="30"/>
      <c r="G187" s="30"/>
    </row>
    <row r="188" outlineLevel="1">
      <c r="A188" s="159" t="s">
        <v>230</v>
      </c>
      <c r="B188" s="27"/>
      <c r="C188" s="160" t="s">
        <v>231</v>
      </c>
      <c r="D188" s="55" t="b">
        <v>0</v>
      </c>
      <c r="E188" s="161" t="s">
        <v>221</v>
      </c>
      <c r="F188" s="162" t="str">
        <f>if(and(left(E188,7)&lt;&gt;"Replace",ISBLANK(E188)&lt;&gt;true), if(D188=true,"✓",""),"")</f>
        <v/>
      </c>
      <c r="G188" s="30"/>
    </row>
    <row r="189" outlineLevel="1">
      <c r="A189" s="26"/>
      <c r="B189" s="27"/>
      <c r="C189" s="30"/>
      <c r="D189" s="29"/>
      <c r="E189" s="30"/>
      <c r="F189" s="30"/>
      <c r="G189" s="30"/>
    </row>
    <row r="190" outlineLevel="1">
      <c r="A190" s="26"/>
      <c r="B190" s="27"/>
      <c r="C190" s="30"/>
      <c r="D190" s="29"/>
      <c r="E190" s="30"/>
      <c r="F190" s="30"/>
      <c r="G190" s="30"/>
    </row>
    <row r="191" ht="33.75" customHeight="1" outlineLevel="1">
      <c r="A191" s="163"/>
      <c r="B191" s="154" t="s">
        <v>232</v>
      </c>
      <c r="C191" s="164" t="s">
        <v>233</v>
      </c>
      <c r="D191" s="156"/>
      <c r="E191" s="165">
        <f t="array" ref="E191">COUNTIF({F195,F197,F199,F201,F203,F205,F207,F209,F211,F213,F215,F217,F219,F221,F223,F225,F227,F229,F231,F233,F235,F237,F239,F241,F243,F245},"✓")/COUNTA({F195,F197,F199,F201,F203,F205,F207,F209,F211,F213,F215,F217,F219,F221,F223,F225,F227,F229,F231,F233,F235,F237,F239,F241,F243,F245})</f>
        <v>0</v>
      </c>
      <c r="F191" s="158"/>
      <c r="G191" s="158"/>
    </row>
    <row r="192" outlineLevel="1">
      <c r="A192" s="7"/>
      <c r="B192" s="8"/>
      <c r="C192" s="40"/>
      <c r="D192" s="41"/>
      <c r="E192" s="40"/>
      <c r="F192" s="9"/>
      <c r="G192" s="9"/>
    </row>
    <row r="193" ht="33.75" customHeight="1" outlineLevel="1">
      <c r="A193" s="166" t="s">
        <v>234</v>
      </c>
      <c r="B193" s="19"/>
      <c r="C193" s="167" t="s">
        <v>235</v>
      </c>
      <c r="D193" s="168" t="b">
        <v>0</v>
      </c>
      <c r="E193" s="169" t="s">
        <v>236</v>
      </c>
      <c r="F193" s="162" t="str">
        <f>if(left(E193,7)&lt;&gt;"Replace", if(D193=true,"✓",""),"")</f>
        <v/>
      </c>
      <c r="G193" s="170" t="s">
        <v>237</v>
      </c>
    </row>
    <row r="194" outlineLevel="1">
      <c r="A194" s="23"/>
      <c r="B194" s="24"/>
      <c r="C194" s="97"/>
      <c r="D194" s="10"/>
      <c r="E194" s="9"/>
      <c r="F194" s="20"/>
      <c r="G194" s="20"/>
    </row>
    <row r="195" outlineLevel="1">
      <c r="A195" s="166" t="s">
        <v>238</v>
      </c>
      <c r="B195" s="24"/>
      <c r="C195" s="137" t="s">
        <v>239</v>
      </c>
      <c r="D195" s="82" t="b">
        <v>0</v>
      </c>
      <c r="E195" s="161" t="s">
        <v>240</v>
      </c>
      <c r="F195" s="162" t="str">
        <f>if(and(left(E195,7)&lt;&gt;"Replace",ISBLANK(E195)&lt;&gt;true), if(D195=true,"✓",""),"")</f>
        <v/>
      </c>
      <c r="G195" s="161" t="s">
        <v>221</v>
      </c>
    </row>
    <row r="196" outlineLevel="1">
      <c r="A196" s="171"/>
      <c r="B196" s="39"/>
      <c r="C196" s="172"/>
      <c r="D196" s="173"/>
      <c r="E196" s="169"/>
      <c r="F196" s="174"/>
      <c r="G196" s="174"/>
    </row>
    <row r="197" outlineLevel="1">
      <c r="A197" s="166" t="s">
        <v>241</v>
      </c>
      <c r="B197" s="24"/>
      <c r="C197" s="137" t="s">
        <v>242</v>
      </c>
      <c r="D197" s="82" t="b">
        <v>0</v>
      </c>
      <c r="E197" s="161" t="s">
        <v>240</v>
      </c>
      <c r="F197" s="162" t="str">
        <f>if(and(left(E197,7)&lt;&gt;"Replace",ISBLANK(E197)&lt;&gt;true), if(D197=true,"✓",""),"")</f>
        <v/>
      </c>
      <c r="G197" s="161" t="s">
        <v>221</v>
      </c>
    </row>
    <row r="198" outlineLevel="1">
      <c r="A198" s="11"/>
      <c r="B198" s="8"/>
      <c r="C198" s="16"/>
      <c r="D198" s="144"/>
      <c r="E198" s="169"/>
      <c r="F198" s="17"/>
      <c r="G198" s="17"/>
    </row>
    <row r="199" outlineLevel="1">
      <c r="A199" s="166" t="s">
        <v>243</v>
      </c>
      <c r="B199" s="24"/>
      <c r="C199" s="137" t="s">
        <v>244</v>
      </c>
      <c r="D199" s="82" t="b">
        <v>0</v>
      </c>
      <c r="E199" s="161" t="s">
        <v>240</v>
      </c>
      <c r="F199" s="162" t="str">
        <f>if(and(left(E199,7)&lt;&gt;"Replace",ISBLANK(E199)&lt;&gt;true), if(D199=true,"✓",""),"")</f>
        <v/>
      </c>
      <c r="G199" s="161" t="s">
        <v>221</v>
      </c>
    </row>
    <row r="200" outlineLevel="1">
      <c r="A200" s="49"/>
      <c r="B200" s="27"/>
      <c r="C200" s="160"/>
      <c r="D200" s="51"/>
      <c r="E200" s="169"/>
      <c r="F200" s="52"/>
      <c r="G200" s="52"/>
    </row>
    <row r="201" outlineLevel="1">
      <c r="A201" s="166" t="s">
        <v>245</v>
      </c>
      <c r="B201" s="24"/>
      <c r="C201" s="137" t="s">
        <v>246</v>
      </c>
      <c r="D201" s="82" t="b">
        <v>0</v>
      </c>
      <c r="E201" s="161" t="s">
        <v>240</v>
      </c>
      <c r="F201" s="162" t="str">
        <f>if(and(left(E201,7)&lt;&gt;"Replace",ISBLANK(E201)&lt;&gt;true), if(D201=true,"✓",""),"")</f>
        <v/>
      </c>
      <c r="G201" s="161" t="s">
        <v>221</v>
      </c>
    </row>
    <row r="202" outlineLevel="1">
      <c r="A202" s="11"/>
      <c r="B202" s="8"/>
      <c r="C202" s="16"/>
      <c r="D202" s="144"/>
      <c r="E202" s="169"/>
      <c r="F202" s="17"/>
      <c r="G202" s="17"/>
    </row>
    <row r="203" outlineLevel="1">
      <c r="A203" s="166" t="s">
        <v>247</v>
      </c>
      <c r="B203" s="24"/>
      <c r="C203" s="137" t="s">
        <v>248</v>
      </c>
      <c r="D203" s="82" t="b">
        <v>0</v>
      </c>
      <c r="E203" s="161" t="s">
        <v>240</v>
      </c>
      <c r="F203" s="162" t="str">
        <f>if(and(left(E203,7)&lt;&gt;"Replace",ISBLANK(E203)&lt;&gt;true), if(D203=true,"✓",""),"")</f>
        <v/>
      </c>
      <c r="G203" s="161" t="s">
        <v>221</v>
      </c>
    </row>
    <row r="204" outlineLevel="1">
      <c r="A204" s="49"/>
      <c r="B204" s="27"/>
      <c r="C204" s="16"/>
      <c r="D204" s="51"/>
      <c r="E204" s="169"/>
      <c r="F204" s="52"/>
      <c r="G204" s="52"/>
    </row>
    <row r="205" outlineLevel="1">
      <c r="A205" s="166" t="s">
        <v>249</v>
      </c>
      <c r="B205" s="24"/>
      <c r="C205" s="137" t="s">
        <v>250</v>
      </c>
      <c r="D205" s="82" t="b">
        <v>0</v>
      </c>
      <c r="E205" s="161" t="s">
        <v>240</v>
      </c>
      <c r="F205" s="162" t="str">
        <f>if(and(left(E205,7)&lt;&gt;"Replace",ISBLANK(E205)&lt;&gt;true), if(D205=true,"✓",""),"")</f>
        <v/>
      </c>
      <c r="G205" s="161" t="s">
        <v>221</v>
      </c>
    </row>
    <row r="206" outlineLevel="1">
      <c r="A206" s="11"/>
      <c r="B206" s="8"/>
      <c r="C206" s="16"/>
      <c r="D206" s="144"/>
      <c r="E206" s="169"/>
      <c r="F206" s="17"/>
      <c r="G206" s="17"/>
    </row>
    <row r="207" outlineLevel="1">
      <c r="A207" s="166" t="s">
        <v>251</v>
      </c>
      <c r="B207" s="175"/>
      <c r="C207" s="137" t="s">
        <v>252</v>
      </c>
      <c r="D207" s="82" t="b">
        <v>0</v>
      </c>
      <c r="E207" s="161" t="s">
        <v>240</v>
      </c>
      <c r="F207" s="162" t="str">
        <f>if(and(left(E207,7)&lt;&gt;"Replace",ISBLANK(E207)&lt;&gt;true), if(D207=true,"✓",""),"")</f>
        <v/>
      </c>
      <c r="G207" s="161" t="s">
        <v>221</v>
      </c>
    </row>
    <row r="208" outlineLevel="1">
      <c r="A208" s="49"/>
      <c r="B208" s="27"/>
      <c r="C208" s="16"/>
      <c r="D208" s="51"/>
      <c r="E208" s="169"/>
      <c r="F208" s="52"/>
      <c r="G208" s="52"/>
    </row>
    <row r="209" outlineLevel="1">
      <c r="A209" s="166" t="s">
        <v>253</v>
      </c>
      <c r="B209" s="24"/>
      <c r="C209" s="137" t="s">
        <v>254</v>
      </c>
      <c r="D209" s="82" t="b">
        <v>0</v>
      </c>
      <c r="E209" s="161" t="s">
        <v>240</v>
      </c>
      <c r="F209" s="162" t="str">
        <f>if(and(left(E209,7)&lt;&gt;"Replace",ISBLANK(E209)&lt;&gt;true), if(D209=true,"✓",""),"")</f>
        <v/>
      </c>
      <c r="G209" s="161" t="s">
        <v>221</v>
      </c>
    </row>
    <row r="210" outlineLevel="1">
      <c r="A210" s="11"/>
      <c r="B210" s="8"/>
      <c r="C210" s="16"/>
      <c r="D210" s="144"/>
      <c r="E210" s="169"/>
      <c r="F210" s="17"/>
      <c r="G210" s="17"/>
    </row>
    <row r="211" outlineLevel="1">
      <c r="A211" s="166" t="s">
        <v>255</v>
      </c>
      <c r="B211" s="24"/>
      <c r="C211" s="137" t="s">
        <v>256</v>
      </c>
      <c r="D211" s="82" t="b">
        <v>0</v>
      </c>
      <c r="E211" s="161" t="s">
        <v>240</v>
      </c>
      <c r="F211" s="162" t="str">
        <f>if(and(left(E211,7)&lt;&gt;"Replace",ISBLANK(E211)&lt;&gt;true), if(D211=true,"✓",""),"")</f>
        <v/>
      </c>
      <c r="G211" s="161" t="s">
        <v>221</v>
      </c>
    </row>
    <row r="212" outlineLevel="1">
      <c r="A212" s="49"/>
      <c r="B212" s="27"/>
      <c r="C212" s="16"/>
      <c r="D212" s="51"/>
      <c r="E212" s="169"/>
      <c r="F212" s="52"/>
      <c r="G212" s="52"/>
    </row>
    <row r="213" outlineLevel="1">
      <c r="A213" s="166" t="s">
        <v>257</v>
      </c>
      <c r="B213" s="24"/>
      <c r="C213" s="137" t="s">
        <v>258</v>
      </c>
      <c r="D213" s="82" t="b">
        <v>0</v>
      </c>
      <c r="E213" s="161" t="s">
        <v>240</v>
      </c>
      <c r="F213" s="162" t="str">
        <f>if(and(left(E213,7)&lt;&gt;"Replace",ISBLANK(E213)&lt;&gt;true), if(D213=true,"✓",""),"")</f>
        <v/>
      </c>
      <c r="G213" s="161" t="s">
        <v>221</v>
      </c>
    </row>
    <row r="214" outlineLevel="1">
      <c r="A214" s="11"/>
      <c r="B214" s="8"/>
      <c r="C214" s="16"/>
      <c r="D214" s="144"/>
      <c r="E214" s="169"/>
      <c r="F214" s="17"/>
      <c r="G214" s="17"/>
    </row>
    <row r="215" outlineLevel="1">
      <c r="A215" s="166" t="s">
        <v>259</v>
      </c>
      <c r="B215" s="24"/>
      <c r="C215" s="137" t="s">
        <v>260</v>
      </c>
      <c r="D215" s="82" t="b">
        <v>0</v>
      </c>
      <c r="E215" s="161" t="s">
        <v>240</v>
      </c>
      <c r="F215" s="162" t="str">
        <f>if(and(left(E215,7)&lt;&gt;"Replace",ISBLANK(E215)&lt;&gt;true), if(D215=true,"✓",""),"")</f>
        <v/>
      </c>
      <c r="G215" s="161" t="s">
        <v>221</v>
      </c>
    </row>
    <row r="216" outlineLevel="1">
      <c r="A216" s="166"/>
      <c r="B216" s="24"/>
      <c r="C216" s="16"/>
      <c r="D216" s="120"/>
      <c r="E216" s="169"/>
      <c r="F216" s="83"/>
      <c r="G216" s="83"/>
    </row>
    <row r="217" outlineLevel="1">
      <c r="A217" s="166" t="s">
        <v>261</v>
      </c>
      <c r="B217" s="24"/>
      <c r="C217" s="137" t="s">
        <v>262</v>
      </c>
      <c r="D217" s="82" t="b">
        <v>0</v>
      </c>
      <c r="E217" s="161" t="s">
        <v>240</v>
      </c>
      <c r="F217" s="162" t="str">
        <f>if(and(left(E217,7)&lt;&gt;"Replace",ISBLANK(E217)&lt;&gt;true), if(D217=true,"✓",""),"")</f>
        <v/>
      </c>
      <c r="G217" s="161" t="s">
        <v>221</v>
      </c>
    </row>
    <row r="218" outlineLevel="1">
      <c r="A218" s="166"/>
      <c r="B218" s="24"/>
      <c r="C218" s="16"/>
      <c r="D218" s="120"/>
      <c r="E218" s="169"/>
      <c r="F218" s="83"/>
      <c r="G218" s="83"/>
    </row>
    <row r="219" outlineLevel="1">
      <c r="A219" s="166" t="s">
        <v>263</v>
      </c>
      <c r="B219" s="24"/>
      <c r="C219" s="137" t="s">
        <v>264</v>
      </c>
      <c r="D219" s="82" t="b">
        <v>0</v>
      </c>
      <c r="E219" s="161" t="s">
        <v>240</v>
      </c>
      <c r="F219" s="162" t="str">
        <f>if(and(left(E219,7)&lt;&gt;"Replace",ISBLANK(E219)&lt;&gt;true), if(D219=true,"✓",""),"")</f>
        <v/>
      </c>
      <c r="G219" s="161" t="s">
        <v>221</v>
      </c>
    </row>
    <row r="220" outlineLevel="1">
      <c r="A220" s="49"/>
      <c r="B220" s="27"/>
      <c r="C220" s="16"/>
      <c r="D220" s="51"/>
      <c r="E220" s="169"/>
      <c r="F220" s="52"/>
      <c r="G220" s="52"/>
    </row>
    <row r="221" outlineLevel="1">
      <c r="A221" s="166" t="s">
        <v>265</v>
      </c>
      <c r="B221" s="24"/>
      <c r="C221" s="137" t="s">
        <v>266</v>
      </c>
      <c r="D221" s="82" t="b">
        <v>0</v>
      </c>
      <c r="E221" s="161" t="s">
        <v>240</v>
      </c>
      <c r="F221" s="162" t="str">
        <f>if(and(left(E221,7)&lt;&gt;"Replace",ISBLANK(E221)&lt;&gt;true), if(D221=true,"✓",""),"")</f>
        <v/>
      </c>
      <c r="G221" s="161" t="s">
        <v>221</v>
      </c>
    </row>
    <row r="222" outlineLevel="1">
      <c r="A222" s="11"/>
      <c r="B222" s="8"/>
      <c r="C222" s="16"/>
      <c r="D222" s="144"/>
      <c r="E222" s="169"/>
      <c r="F222" s="17"/>
      <c r="G222" s="17"/>
    </row>
    <row r="223" outlineLevel="1">
      <c r="A223" s="166" t="s">
        <v>267</v>
      </c>
      <c r="B223" s="24"/>
      <c r="C223" s="137" t="s">
        <v>268</v>
      </c>
      <c r="D223" s="82" t="b">
        <v>0</v>
      </c>
      <c r="E223" s="161" t="s">
        <v>240</v>
      </c>
      <c r="F223" s="162" t="str">
        <f>if(and(left(E223,7)&lt;&gt;"Replace",ISBLANK(E223)&lt;&gt;true), if(D223=true,"✓",""),"")</f>
        <v/>
      </c>
      <c r="G223" s="161" t="s">
        <v>221</v>
      </c>
    </row>
    <row r="224" outlineLevel="1">
      <c r="A224" s="49"/>
      <c r="B224" s="27"/>
      <c r="C224" s="16"/>
      <c r="D224" s="51"/>
      <c r="E224" s="169"/>
      <c r="F224" s="52"/>
      <c r="G224" s="52"/>
    </row>
    <row r="225" outlineLevel="1">
      <c r="A225" s="166" t="s">
        <v>269</v>
      </c>
      <c r="B225" s="24"/>
      <c r="C225" s="137" t="s">
        <v>270</v>
      </c>
      <c r="D225" s="82" t="b">
        <v>0</v>
      </c>
      <c r="E225" s="161" t="s">
        <v>240</v>
      </c>
      <c r="F225" s="162" t="str">
        <f>if(and(left(E225,7)&lt;&gt;"Replace",ISBLANK(E225)&lt;&gt;true), if(D225=true,"✓",""),"")</f>
        <v/>
      </c>
      <c r="G225" s="161" t="s">
        <v>221</v>
      </c>
    </row>
    <row r="226" outlineLevel="1">
      <c r="A226" s="11"/>
      <c r="B226" s="8"/>
      <c r="C226" s="16"/>
      <c r="D226" s="144"/>
      <c r="E226" s="169"/>
      <c r="F226" s="17"/>
      <c r="G226" s="17"/>
    </row>
    <row r="227" outlineLevel="1">
      <c r="A227" s="166" t="s">
        <v>271</v>
      </c>
      <c r="B227" s="24"/>
      <c r="C227" s="137" t="s">
        <v>272</v>
      </c>
      <c r="D227" s="82" t="b">
        <v>0</v>
      </c>
      <c r="E227" s="161" t="s">
        <v>240</v>
      </c>
      <c r="F227" s="162" t="str">
        <f>if(and(left(E227,7)&lt;&gt;"Replace",ISBLANK(E227)&lt;&gt;true), if(D227=true,"✓",""),"")</f>
        <v/>
      </c>
      <c r="G227" s="161" t="s">
        <v>221</v>
      </c>
    </row>
    <row r="228" outlineLevel="1">
      <c r="A228" s="49"/>
      <c r="B228" s="27"/>
      <c r="C228" s="16"/>
      <c r="D228" s="51"/>
      <c r="E228" s="169"/>
      <c r="F228" s="52"/>
      <c r="G228" s="52"/>
    </row>
    <row r="229" outlineLevel="1">
      <c r="A229" s="166" t="s">
        <v>273</v>
      </c>
      <c r="B229" s="24"/>
      <c r="C229" s="137" t="s">
        <v>274</v>
      </c>
      <c r="D229" s="82" t="b">
        <v>0</v>
      </c>
      <c r="E229" s="161" t="s">
        <v>240</v>
      </c>
      <c r="F229" s="162" t="str">
        <f>if(and(left(E229,7)&lt;&gt;"Replace",ISBLANK(E229)&lt;&gt;true), if(D229=true,"✓",""),"")</f>
        <v/>
      </c>
      <c r="G229" s="161" t="s">
        <v>221</v>
      </c>
    </row>
    <row r="230" outlineLevel="1">
      <c r="A230" s="11"/>
      <c r="B230" s="8"/>
      <c r="C230" s="16"/>
      <c r="D230" s="144"/>
      <c r="E230" s="169"/>
      <c r="F230" s="17"/>
      <c r="G230" s="17"/>
    </row>
    <row r="231" outlineLevel="1">
      <c r="A231" s="166" t="s">
        <v>275</v>
      </c>
      <c r="B231" s="24"/>
      <c r="C231" s="137" t="s">
        <v>276</v>
      </c>
      <c r="D231" s="82" t="b">
        <v>0</v>
      </c>
      <c r="E231" s="161" t="s">
        <v>240</v>
      </c>
      <c r="F231" s="162" t="str">
        <f>if(and(left(E231,7)&lt;&gt;"Replace",ISBLANK(E231)&lt;&gt;true), if(D231=true,"✓",""),"")</f>
        <v/>
      </c>
      <c r="G231" s="161" t="s">
        <v>221</v>
      </c>
    </row>
    <row r="232" outlineLevel="1">
      <c r="A232" s="49"/>
      <c r="B232" s="27"/>
      <c r="C232" s="16"/>
      <c r="D232" s="51"/>
      <c r="E232" s="169"/>
      <c r="F232" s="52"/>
      <c r="G232" s="52"/>
    </row>
    <row r="233" outlineLevel="1">
      <c r="A233" s="166" t="s">
        <v>277</v>
      </c>
      <c r="B233" s="24"/>
      <c r="C233" s="137" t="s">
        <v>278</v>
      </c>
      <c r="D233" s="82" t="b">
        <v>0</v>
      </c>
      <c r="E233" s="161" t="s">
        <v>240</v>
      </c>
      <c r="F233" s="162" t="str">
        <f>if(and(left(E233,7)&lt;&gt;"Replace",ISBLANK(E233)&lt;&gt;true), if(D233=true,"✓",""),"")</f>
        <v/>
      </c>
      <c r="G233" s="161" t="s">
        <v>221</v>
      </c>
    </row>
    <row r="234" outlineLevel="1">
      <c r="A234" s="11"/>
      <c r="B234" s="8"/>
      <c r="C234" s="16"/>
      <c r="D234" s="144"/>
      <c r="E234" s="169"/>
      <c r="F234" s="17"/>
      <c r="G234" s="17"/>
    </row>
    <row r="235" outlineLevel="1">
      <c r="A235" s="166" t="s">
        <v>279</v>
      </c>
      <c r="B235" s="24"/>
      <c r="C235" s="137" t="s">
        <v>280</v>
      </c>
      <c r="D235" s="82" t="b">
        <v>0</v>
      </c>
      <c r="E235" s="161" t="s">
        <v>240</v>
      </c>
      <c r="F235" s="162" t="str">
        <f>if(and(left(E235,7)&lt;&gt;"Replace",ISBLANK(E235)&lt;&gt;true), if(D235=true,"✓",""),"")</f>
        <v/>
      </c>
      <c r="G235" s="161" t="s">
        <v>221</v>
      </c>
    </row>
    <row r="236" outlineLevel="1">
      <c r="A236" s="49"/>
      <c r="B236" s="27"/>
      <c r="C236" s="16"/>
      <c r="D236" s="51"/>
      <c r="E236" s="169"/>
      <c r="F236" s="52"/>
      <c r="G236" s="52"/>
    </row>
    <row r="237" outlineLevel="1">
      <c r="A237" s="166" t="s">
        <v>281</v>
      </c>
      <c r="B237" s="24"/>
      <c r="C237" s="137" t="s">
        <v>282</v>
      </c>
      <c r="D237" s="82" t="b">
        <v>0</v>
      </c>
      <c r="E237" s="161" t="s">
        <v>240</v>
      </c>
      <c r="F237" s="162" t="str">
        <f>if(and(left(E237,7)&lt;&gt;"Replace",ISBLANK(E237)&lt;&gt;true), if(D237=true,"✓",""),"")</f>
        <v/>
      </c>
      <c r="G237" s="161" t="s">
        <v>221</v>
      </c>
    </row>
    <row r="238" outlineLevel="1">
      <c r="A238" s="11"/>
      <c r="B238" s="8"/>
      <c r="C238" s="16"/>
      <c r="D238" s="144"/>
      <c r="E238" s="169"/>
      <c r="F238" s="17"/>
      <c r="G238" s="17"/>
    </row>
    <row r="239" outlineLevel="1">
      <c r="A239" s="166" t="s">
        <v>283</v>
      </c>
      <c r="B239" s="24"/>
      <c r="C239" s="137" t="s">
        <v>284</v>
      </c>
      <c r="D239" s="82" t="b">
        <v>0</v>
      </c>
      <c r="E239" s="161" t="s">
        <v>240</v>
      </c>
      <c r="F239" s="162" t="str">
        <f>if(and(left(E239,7)&lt;&gt;"Replace",ISBLANK(E239)&lt;&gt;true), if(D239=true,"✓",""),"")</f>
        <v/>
      </c>
      <c r="G239" s="161" t="s">
        <v>221</v>
      </c>
    </row>
    <row r="240" outlineLevel="1">
      <c r="A240" s="49"/>
      <c r="B240" s="27"/>
      <c r="C240" s="16"/>
      <c r="D240" s="51"/>
      <c r="E240" s="169"/>
      <c r="F240" s="52"/>
      <c r="G240" s="52"/>
    </row>
    <row r="241" outlineLevel="1">
      <c r="A241" s="166" t="s">
        <v>285</v>
      </c>
      <c r="B241" s="24"/>
      <c r="C241" s="137" t="s">
        <v>286</v>
      </c>
      <c r="D241" s="82" t="b">
        <v>0</v>
      </c>
      <c r="E241" s="161" t="s">
        <v>240</v>
      </c>
      <c r="F241" s="162" t="str">
        <f>if(and(left(E241,7)&lt;&gt;"Replace",ISBLANK(E241)&lt;&gt;true), if(D241=true,"✓",""),"")</f>
        <v/>
      </c>
      <c r="G241" s="161" t="s">
        <v>221</v>
      </c>
    </row>
    <row r="242" outlineLevel="1">
      <c r="A242" s="11"/>
      <c r="B242" s="8"/>
      <c r="C242" s="16"/>
      <c r="D242" s="144"/>
      <c r="E242" s="169"/>
      <c r="F242" s="17"/>
      <c r="G242" s="17"/>
    </row>
    <row r="243" outlineLevel="1">
      <c r="A243" s="166" t="s">
        <v>287</v>
      </c>
      <c r="B243" s="24"/>
      <c r="C243" s="137" t="s">
        <v>288</v>
      </c>
      <c r="D243" s="82" t="b">
        <v>0</v>
      </c>
      <c r="E243" s="161" t="s">
        <v>240</v>
      </c>
      <c r="F243" s="162" t="str">
        <f>if(and(left(E243,7)&lt;&gt;"Replace",ISBLANK(E243)&lt;&gt;true), if(D243=true,"✓",""),"")</f>
        <v/>
      </c>
      <c r="G243" s="161" t="s">
        <v>221</v>
      </c>
    </row>
    <row r="244" outlineLevel="1">
      <c r="A244" s="49"/>
      <c r="B244" s="27"/>
      <c r="C244" s="16"/>
      <c r="D244" s="51"/>
      <c r="E244" s="169"/>
      <c r="F244" s="52"/>
      <c r="G244" s="52"/>
    </row>
    <row r="245" outlineLevel="1">
      <c r="A245" s="166" t="s">
        <v>289</v>
      </c>
      <c r="B245" s="24"/>
      <c r="C245" s="137" t="s">
        <v>290</v>
      </c>
      <c r="D245" s="82" t="b">
        <v>0</v>
      </c>
      <c r="E245" s="161" t="s">
        <v>240</v>
      </c>
      <c r="F245" s="162" t="str">
        <f>if(and(left(E245,7)&lt;&gt;"Replace",ISBLANK(E245)&lt;&gt;true), if(D245=true,"✓",""),"")</f>
        <v/>
      </c>
      <c r="G245" s="161" t="s">
        <v>221</v>
      </c>
    </row>
    <row r="246">
      <c r="A246" s="38"/>
      <c r="B246" s="39"/>
      <c r="C246" s="16"/>
      <c r="D246" s="41"/>
      <c r="E246" s="42"/>
      <c r="F246" s="42"/>
      <c r="G246" s="42"/>
    </row>
    <row r="247" ht="33.75" customHeight="1">
      <c r="A247" s="176"/>
      <c r="B247" s="177"/>
      <c r="C247" s="178" t="s">
        <v>291</v>
      </c>
      <c r="D247" s="179"/>
      <c r="E247" s="180">
        <f>E249</f>
        <v>0</v>
      </c>
      <c r="F247" s="181" t="str">
        <f>hyperlink(IF(unicode(F282) = 128104, "https://drive.google.com/file/d/1-YyV4xv-DfZwVFjnYffR0smBI6K-ZLz_/preview",IF(unicode(F282) = 127482, "https://drive.google.com/file/d/1egoZDLUqPoNVsfdfFCUa5hdJV93lR54w/preview",IF(unicode(F282) = 127468, "https://drive.google.com/file/d/1Xb5shakvDlg_lMdrVYxt7EqkJ85VXCnX/preview",""))),"Play ▸")</f>
        <v>Play ▸</v>
      </c>
      <c r="G247" s="182"/>
    </row>
    <row r="248" outlineLevel="1">
      <c r="A248" s="38"/>
      <c r="B248" s="39"/>
      <c r="C248" s="42"/>
      <c r="D248" s="41"/>
      <c r="E248" s="42"/>
      <c r="F248" s="42"/>
      <c r="G248" s="42"/>
    </row>
    <row r="249" outlineLevel="1">
      <c r="A249" s="183"/>
      <c r="B249" s="184" t="s">
        <v>292</v>
      </c>
      <c r="C249" s="185" t="s">
        <v>293</v>
      </c>
      <c r="D249" s="186"/>
      <c r="E249" s="187">
        <f t="array" ref="E249">COUNTIF({F252,F254,F256,F258,F260,F262,F264,F266,F268,F270,F272,F274,F276},"✓")/COUNTA({F252,F254,F256,F258,F260,F262,F264,F266,F268,F270,F272,F274,F276})</f>
        <v>0</v>
      </c>
      <c r="F249" s="188"/>
      <c r="G249" s="188"/>
    </row>
    <row r="250" outlineLevel="1">
      <c r="A250" s="7"/>
      <c r="B250" s="8"/>
      <c r="C250" s="9"/>
      <c r="D250" s="10"/>
      <c r="E250" s="9"/>
      <c r="F250" s="9"/>
      <c r="G250" s="9"/>
    </row>
    <row r="251" outlineLevel="1">
      <c r="A251" s="23"/>
      <c r="B251" s="24"/>
      <c r="C251" s="20"/>
      <c r="D251" s="25"/>
      <c r="E251" s="20"/>
      <c r="F251" s="20"/>
      <c r="G251" s="20"/>
    </row>
    <row r="252" outlineLevel="1">
      <c r="A252" s="189" t="s">
        <v>294</v>
      </c>
      <c r="B252" s="175">
        <v>1.0</v>
      </c>
      <c r="C252" s="190" t="s">
        <v>295</v>
      </c>
      <c r="D252" s="55" t="b">
        <v>0</v>
      </c>
      <c r="E252" s="161" t="s">
        <v>296</v>
      </c>
      <c r="F252" s="162" t="str">
        <f>if(and(left(E252,7)&lt;&gt;"Replace",ISBLANK(E252)&lt;&gt;true), if(D252=true,"✓",""),"")</f>
        <v/>
      </c>
      <c r="G252" s="20"/>
    </row>
    <row r="253" outlineLevel="1">
      <c r="A253" s="23"/>
      <c r="B253" s="24"/>
      <c r="C253" s="190"/>
      <c r="D253" s="25"/>
      <c r="E253" s="22"/>
      <c r="F253" s="20"/>
      <c r="G253" s="20"/>
    </row>
    <row r="254" outlineLevel="1">
      <c r="A254" s="189" t="s">
        <v>297</v>
      </c>
      <c r="B254" s="175">
        <v>2.0</v>
      </c>
      <c r="C254" s="190" t="s">
        <v>298</v>
      </c>
      <c r="D254" s="55" t="b">
        <v>0</v>
      </c>
      <c r="E254" s="161" t="s">
        <v>296</v>
      </c>
      <c r="F254" s="162" t="str">
        <f>if(and(left(E254,7)&lt;&gt;"Replace",ISBLANK(E254)&lt;&gt;true), if(D254=true,"✓",""),"")</f>
        <v/>
      </c>
      <c r="G254" s="20"/>
    </row>
    <row r="255" outlineLevel="1">
      <c r="A255" s="23"/>
      <c r="B255" s="24"/>
      <c r="C255" s="191"/>
      <c r="D255" s="25"/>
      <c r="E255" s="20"/>
      <c r="F255" s="20"/>
      <c r="G255" s="20"/>
    </row>
    <row r="256" outlineLevel="1">
      <c r="A256" s="189" t="s">
        <v>299</v>
      </c>
      <c r="B256" s="175">
        <v>3.0</v>
      </c>
      <c r="C256" s="190" t="s">
        <v>300</v>
      </c>
      <c r="D256" s="29" t="b">
        <v>0</v>
      </c>
      <c r="E256" s="161" t="s">
        <v>296</v>
      </c>
      <c r="F256" s="162" t="str">
        <f>if(and(left(E256,7)&lt;&gt;"Replace",ISBLANK(E256)&lt;&gt;true), if(D256=true,"✓",""),"")</f>
        <v/>
      </c>
      <c r="G256" s="20"/>
    </row>
    <row r="257" outlineLevel="1">
      <c r="A257" s="23"/>
      <c r="B257" s="24"/>
      <c r="C257" s="191"/>
      <c r="D257" s="25"/>
      <c r="E257" s="20"/>
      <c r="F257" s="20"/>
      <c r="G257" s="20"/>
    </row>
    <row r="258" outlineLevel="1">
      <c r="A258" s="189" t="s">
        <v>301</v>
      </c>
      <c r="B258" s="175">
        <v>4.0</v>
      </c>
      <c r="C258" s="190" t="s">
        <v>302</v>
      </c>
      <c r="D258" s="29" t="b">
        <v>0</v>
      </c>
      <c r="E258" s="161" t="s">
        <v>296</v>
      </c>
      <c r="F258" s="162" t="str">
        <f>if(and(left(E258,7)&lt;&gt;"Replace",ISBLANK(E258)&lt;&gt;true), if(D258=true,"✓",""),"")</f>
        <v/>
      </c>
      <c r="G258" s="20"/>
    </row>
    <row r="259" outlineLevel="1">
      <c r="A259" s="23"/>
      <c r="B259" s="24"/>
      <c r="C259" s="191"/>
      <c r="D259" s="25"/>
      <c r="E259" s="20"/>
      <c r="F259" s="20"/>
      <c r="G259" s="20"/>
    </row>
    <row r="260" outlineLevel="1">
      <c r="A260" s="189" t="s">
        <v>303</v>
      </c>
      <c r="B260" s="175">
        <v>5.0</v>
      </c>
      <c r="C260" s="190" t="s">
        <v>304</v>
      </c>
      <c r="D260" s="29" t="b">
        <v>0</v>
      </c>
      <c r="E260" s="161" t="s">
        <v>296</v>
      </c>
      <c r="F260" s="162" t="str">
        <f>if(and(left(E260,7)&lt;&gt;"Replace",ISBLANK(E260)&lt;&gt;true), if(D260=true,"✓",""),"")</f>
        <v/>
      </c>
      <c r="G260" s="20"/>
    </row>
    <row r="261" outlineLevel="1">
      <c r="A261" s="23"/>
      <c r="B261" s="24"/>
      <c r="C261" s="191"/>
      <c r="D261" s="25"/>
      <c r="E261" s="20"/>
      <c r="F261" s="20"/>
      <c r="G261" s="20"/>
    </row>
    <row r="262" outlineLevel="1">
      <c r="A262" s="189" t="s">
        <v>305</v>
      </c>
      <c r="B262" s="175">
        <v>6.0</v>
      </c>
      <c r="C262" s="190" t="s">
        <v>306</v>
      </c>
      <c r="D262" s="29" t="b">
        <v>0</v>
      </c>
      <c r="E262" s="161" t="s">
        <v>296</v>
      </c>
      <c r="F262" s="162" t="str">
        <f>if(and(left(E262,7)&lt;&gt;"Replace",ISBLANK(E262)&lt;&gt;true), if(D262=true,"✓",""),"")</f>
        <v/>
      </c>
      <c r="G262" s="20"/>
    </row>
    <row r="263" outlineLevel="1">
      <c r="A263" s="23"/>
      <c r="B263" s="24"/>
      <c r="C263" s="191"/>
      <c r="D263" s="25"/>
      <c r="E263" s="20"/>
      <c r="F263" s="20"/>
      <c r="G263" s="20"/>
    </row>
    <row r="264" outlineLevel="1">
      <c r="A264" s="189" t="s">
        <v>307</v>
      </c>
      <c r="B264" s="175">
        <v>7.0</v>
      </c>
      <c r="C264" s="190" t="s">
        <v>308</v>
      </c>
      <c r="D264" s="29" t="b">
        <v>0</v>
      </c>
      <c r="E264" s="161" t="s">
        <v>296</v>
      </c>
      <c r="F264" s="162" t="str">
        <f>if(and(left(E264,7)&lt;&gt;"Replace",ISBLANK(E264)&lt;&gt;true), if(D264=true,"✓",""),"")</f>
        <v/>
      </c>
      <c r="G264" s="20"/>
    </row>
    <row r="265" outlineLevel="1">
      <c r="A265" s="23"/>
      <c r="B265" s="24"/>
      <c r="C265" s="191"/>
      <c r="D265" s="25"/>
      <c r="E265" s="20"/>
      <c r="F265" s="20"/>
      <c r="G265" s="20"/>
    </row>
    <row r="266" outlineLevel="1">
      <c r="A266" s="189" t="s">
        <v>309</v>
      </c>
      <c r="B266" s="175">
        <v>8.0</v>
      </c>
      <c r="C266" s="190" t="s">
        <v>310</v>
      </c>
      <c r="D266" s="29" t="b">
        <v>0</v>
      </c>
      <c r="E266" s="161" t="s">
        <v>296</v>
      </c>
      <c r="F266" s="162" t="str">
        <f>if(and(left(E266,7)&lt;&gt;"Replace",ISBLANK(E266)&lt;&gt;true), if(D266=true,"✓",""),"")</f>
        <v/>
      </c>
      <c r="G266" s="20"/>
    </row>
    <row r="267" outlineLevel="1">
      <c r="A267" s="23"/>
      <c r="B267" s="24"/>
      <c r="C267" s="191"/>
      <c r="D267" s="25"/>
      <c r="E267" s="20"/>
      <c r="F267" s="20"/>
      <c r="G267" s="20"/>
    </row>
    <row r="268" outlineLevel="1">
      <c r="A268" s="189" t="s">
        <v>311</v>
      </c>
      <c r="B268" s="175">
        <v>9.0</v>
      </c>
      <c r="C268" s="190" t="s">
        <v>312</v>
      </c>
      <c r="D268" s="29" t="b">
        <v>0</v>
      </c>
      <c r="E268" s="161" t="s">
        <v>296</v>
      </c>
      <c r="F268" s="162" t="str">
        <f>if(and(left(E268,7)&lt;&gt;"Replace",ISBLANK(E268)&lt;&gt;true), if(D268=true,"✓",""),"")</f>
        <v/>
      </c>
      <c r="G268" s="20"/>
    </row>
    <row r="269" outlineLevel="1">
      <c r="A269" s="23"/>
      <c r="B269" s="24"/>
      <c r="C269" s="191"/>
      <c r="D269" s="25"/>
      <c r="E269" s="20"/>
      <c r="F269" s="20"/>
      <c r="G269" s="20"/>
    </row>
    <row r="270" outlineLevel="1">
      <c r="A270" s="189" t="s">
        <v>313</v>
      </c>
      <c r="B270" s="175">
        <v>10.0</v>
      </c>
      <c r="C270" s="190" t="s">
        <v>314</v>
      </c>
      <c r="D270" s="29" t="b">
        <v>0</v>
      </c>
      <c r="E270" s="161" t="s">
        <v>296</v>
      </c>
      <c r="F270" s="162" t="str">
        <f>if(and(left(E270,7)&lt;&gt;"Replace",ISBLANK(E270)&lt;&gt;true), if(D270=true,"✓",""),"")</f>
        <v/>
      </c>
      <c r="G270" s="20"/>
    </row>
    <row r="271" outlineLevel="1">
      <c r="A271" s="23"/>
      <c r="B271" s="24"/>
      <c r="C271" s="191"/>
      <c r="D271" s="25"/>
      <c r="E271" s="20"/>
      <c r="F271" s="20"/>
      <c r="G271" s="20"/>
    </row>
    <row r="272" outlineLevel="1">
      <c r="A272" s="189" t="s">
        <v>315</v>
      </c>
      <c r="B272" s="175">
        <v>11.0</v>
      </c>
      <c r="C272" s="190" t="s">
        <v>316</v>
      </c>
      <c r="D272" s="29" t="b">
        <v>0</v>
      </c>
      <c r="E272" s="161" t="s">
        <v>296</v>
      </c>
      <c r="F272" s="162" t="str">
        <f>if(and(left(E272,7)&lt;&gt;"Replace",ISBLANK(E272)&lt;&gt;true), if(D272=true,"✓",""),"")</f>
        <v/>
      </c>
      <c r="G272" s="20"/>
    </row>
    <row r="273" outlineLevel="1">
      <c r="A273" s="23"/>
      <c r="B273" s="24"/>
      <c r="C273" s="191"/>
      <c r="D273" s="25"/>
      <c r="E273" s="20"/>
      <c r="F273" s="20"/>
      <c r="G273" s="20"/>
    </row>
    <row r="274" outlineLevel="1">
      <c r="A274" s="189" t="s">
        <v>317</v>
      </c>
      <c r="B274" s="175">
        <v>12.0</v>
      </c>
      <c r="C274" s="190" t="s">
        <v>318</v>
      </c>
      <c r="D274" s="29" t="b">
        <v>0</v>
      </c>
      <c r="E274" s="161" t="s">
        <v>296</v>
      </c>
      <c r="F274" s="162" t="str">
        <f>if(and(left(E274,7)&lt;&gt;"Replace",ISBLANK(E274)&lt;&gt;true), if(D274=true,"✓",""),"")</f>
        <v/>
      </c>
      <c r="G274" s="20"/>
    </row>
    <row r="275" outlineLevel="1">
      <c r="A275" s="23"/>
      <c r="B275" s="192"/>
      <c r="C275" s="192"/>
      <c r="D275" s="193"/>
      <c r="E275" s="192"/>
      <c r="F275" s="192"/>
      <c r="G275" s="192"/>
    </row>
    <row r="276" outlineLevel="1">
      <c r="A276" s="189"/>
      <c r="B276" s="175">
        <v>13.0</v>
      </c>
      <c r="C276" s="190" t="s">
        <v>319</v>
      </c>
      <c r="D276" s="55" t="b">
        <v>0</v>
      </c>
      <c r="E276" s="161" t="s">
        <v>296</v>
      </c>
      <c r="F276" s="162" t="str">
        <f>if(and(left(E276,7)&lt;&gt;"Replace",ISBLANK(E276)&lt;&gt;true), if(D276=true,"✓",""),"")</f>
        <v/>
      </c>
      <c r="G276" s="22"/>
    </row>
    <row r="277" outlineLevel="1">
      <c r="A277" s="189"/>
      <c r="B277" s="175"/>
      <c r="C277" s="190"/>
      <c r="D277" s="55"/>
      <c r="E277" s="161"/>
      <c r="F277" s="162"/>
      <c r="G277" s="22"/>
    </row>
    <row r="278" outlineLevel="1">
      <c r="A278" s="75"/>
      <c r="B278" s="175">
        <v>14.0</v>
      </c>
      <c r="C278" s="190" t="s">
        <v>320</v>
      </c>
      <c r="D278" s="55" t="b">
        <v>0</v>
      </c>
      <c r="E278" s="161" t="s">
        <v>296</v>
      </c>
      <c r="F278" s="162" t="str">
        <f>if(and(left(E278,7)&lt;&gt;"Replace",ISBLANK(E278)&lt;&gt;true), if(D278=true,"✓",""),"")</f>
        <v/>
      </c>
      <c r="G278" s="22"/>
    </row>
    <row r="279">
      <c r="A279" s="23"/>
      <c r="B279" s="24"/>
      <c r="C279" s="20"/>
      <c r="D279" s="25"/>
      <c r="E279" s="20"/>
      <c r="F279" s="20"/>
      <c r="G279" s="22"/>
    </row>
    <row r="280" ht="57.0" customHeight="1">
      <c r="A280" s="194"/>
      <c r="B280" s="195"/>
      <c r="C280" s="196" t="s">
        <v>321</v>
      </c>
      <c r="D280" s="195"/>
      <c r="E280" s="195"/>
      <c r="F280" s="197" t="str">
        <f>hyperlink("https://drive.google.com/file/d/1qclD4P8QCmkKoyoFDva-1K7ZDbhuuUbg/preview","Play ▸")</f>
        <v>Play ▸</v>
      </c>
      <c r="G280" s="198"/>
    </row>
    <row r="281">
      <c r="A281" s="23"/>
      <c r="B281" s="24"/>
      <c r="C281" s="20"/>
      <c r="D281" s="25"/>
      <c r="E281" s="20"/>
      <c r="F281" s="20"/>
      <c r="G281" s="22"/>
    </row>
    <row r="282" ht="13.5" customHeight="1">
      <c r="A282" s="199" t="s">
        <v>322</v>
      </c>
      <c r="B282" s="2"/>
      <c r="C282" s="3"/>
      <c r="D282" s="4"/>
      <c r="E282" s="5"/>
      <c r="F282" s="200" t="s">
        <v>42</v>
      </c>
      <c r="G282" s="3"/>
    </row>
  </sheetData>
  <mergeCells count="1">
    <mergeCell ref="E54:E55"/>
  </mergeCells>
  <dataValidations>
    <dataValidation type="list" allowBlank="1" showInputMessage="1" showErrorMessage="1" prompt="Click and enter a value from the list of items" sqref="F282">
      <formula1>"👨🏻‍💼,🇺🇸,🇬🇧"</formula1>
    </dataValidation>
  </dataValidations>
  <hyperlinks>
    <hyperlink r:id="rId1" ref="C15"/>
    <hyperlink r:id="rId2" ref="C18"/>
    <hyperlink r:id="rId3" ref="C27"/>
    <hyperlink r:id="rId4" ref="E56"/>
    <hyperlink r:id="rId5" ref="G193"/>
  </hyperlinks>
  <drawing r:id="rId6"/>
</worksheet>
</file>